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t\Downloads\"/>
    </mc:Choice>
  </mc:AlternateContent>
  <xr:revisionPtr revIDLastSave="0" documentId="8_{2EE93D09-47B7-0B40-98D4-0B69FB28C0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Clean Data" sheetId="2" r:id="rId2"/>
    <sheet name="Pivot Table" sheetId="3" r:id="rId3"/>
    <sheet name="Dashboard" sheetId="4" r:id="rId4"/>
  </sheets>
  <definedNames>
    <definedName name="taylor_swift_spotify_1" localSheetId="0">'Raw Data'!$B$2:$B$584</definedName>
  </definedNames>
  <calcPr calcId="191028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" i="4" l="1"/>
  <c r="L77" i="4"/>
  <c r="L76" i="4"/>
  <c r="L75" i="4"/>
  <c r="L74" i="4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aylor_swift_spotify" type="6" refreshedVersion="4" background="1" saveData="1">
    <textPr sourceFile="C:\Users\salsa\Downloads\taylor_swift_spotify.csv" decimal="," thousands="." tab="0">
      <textFields>
        <textField/>
      </textFields>
    </textPr>
  </connection>
</connections>
</file>

<file path=xl/sharedStrings.xml><?xml version="1.0" encoding="utf-8"?>
<sst xmlns="http://schemas.openxmlformats.org/spreadsheetml/2006/main" count="2408" uniqueCount="1386">
  <si>
    <t>name</t>
  </si>
  <si>
    <t>album</t>
  </si>
  <si>
    <t>release_date</t>
  </si>
  <si>
    <t>track_number</t>
  </si>
  <si>
    <t>acousticness</t>
  </si>
  <si>
    <t>danceability</t>
  </si>
  <si>
    <t>energy</t>
  </si>
  <si>
    <t>instrumentalness</t>
  </si>
  <si>
    <t>liveness</t>
  </si>
  <si>
    <t>loudness</t>
  </si>
  <si>
    <t>speechiness</t>
  </si>
  <si>
    <t>tempo</t>
  </si>
  <si>
    <t>valence</t>
  </si>
  <si>
    <t>popularity</t>
  </si>
  <si>
    <t>duration_ms</t>
  </si>
  <si>
    <t>Fortnight (feat. Post Malone)</t>
  </si>
  <si>
    <t>THE TORTURED POETS DEPARTMENT: THE ANTHOLOGY</t>
  </si>
  <si>
    <t>1.53e-05</t>
  </si>
  <si>
    <t>The Tortured Poets Department</t>
  </si>
  <si>
    <t>My Boy Only Breaks His Favorite Toys</t>
  </si>
  <si>
    <t>Down Bad</t>
  </si>
  <si>
    <t>So Long, London</t>
  </si>
  <si>
    <t>0.00264</t>
  </si>
  <si>
    <t>But Daddy I Love Him</t>
  </si>
  <si>
    <t>Fresh Out The Slammer</t>
  </si>
  <si>
    <t>Florida!!! (feat. Florence + The Machine)</t>
  </si>
  <si>
    <t>Guilty as Sin?</t>
  </si>
  <si>
    <t>94.95</t>
  </si>
  <si>
    <t>Who’s Afraid of Little Old Me?</t>
  </si>
  <si>
    <t>0.048</t>
  </si>
  <si>
    <t>119.88</t>
  </si>
  <si>
    <t>I Can Fix Him (No Really I Can)</t>
  </si>
  <si>
    <t>1.72e-06</t>
  </si>
  <si>
    <t>0.045</t>
  </si>
  <si>
    <t>loml</t>
  </si>
  <si>
    <t>-12.56</t>
  </si>
  <si>
    <t>I Can Do It With a Broken Heart</t>
  </si>
  <si>
    <t>-8.39</t>
  </si>
  <si>
    <t>The Smallest Man Who Ever Lived</t>
  </si>
  <si>
    <t>The Alchemy</t>
  </si>
  <si>
    <t>Clara Bow</t>
  </si>
  <si>
    <t>0.00144</t>
  </si>
  <si>
    <t>The Black Dog</t>
  </si>
  <si>
    <t>0.038</t>
  </si>
  <si>
    <t>imgonnagetyouback</t>
  </si>
  <si>
    <t>The Albatross</t>
  </si>
  <si>
    <t>Chloe or Sam or Sophia or Marcus</t>
  </si>
  <si>
    <t>How Did It End?</t>
  </si>
  <si>
    <t>0.00093</t>
  </si>
  <si>
    <t>So High School</t>
  </si>
  <si>
    <t>3.07e-06</t>
  </si>
  <si>
    <t>I Hate It Here</t>
  </si>
  <si>
    <t>thanK you aIMee</t>
  </si>
  <si>
    <t>I Look in People's Windows</t>
  </si>
  <si>
    <t>The Prophecy</t>
  </si>
  <si>
    <t>2.67e-06</t>
  </si>
  <si>
    <t>Cassandra</t>
  </si>
  <si>
    <t>Peter</t>
  </si>
  <si>
    <t>The Bolter</t>
  </si>
  <si>
    <t>Robin</t>
  </si>
  <si>
    <t>0.000423</t>
  </si>
  <si>
    <t>The Manuscript</t>
  </si>
  <si>
    <t>2.43e-06</t>
  </si>
  <si>
    <t>THE TORTURED POETS DEPARTMENT</t>
  </si>
  <si>
    <t>Welcome To New York (Taylor's Version)</t>
  </si>
  <si>
    <t>1989 (Taylor's Version) [Deluxe]</t>
  </si>
  <si>
    <t>0.00661</t>
  </si>
  <si>
    <t>0.000133</t>
  </si>
  <si>
    <t>Blank Space (Taylor's Version)</t>
  </si>
  <si>
    <t>Style (Taylor's Version)</t>
  </si>
  <si>
    <t>0.000456</t>
  </si>
  <si>
    <t>Out Of The Woods (Taylor's Version)</t>
  </si>
  <si>
    <t>0.000466</t>
  </si>
  <si>
    <t>0.000134</t>
  </si>
  <si>
    <t>All You Had To Do Was Stay (Taylor's Version)</t>
  </si>
  <si>
    <t>0.000778</t>
  </si>
  <si>
    <t>Shake It Off (Taylor's Version)</t>
  </si>
  <si>
    <t>2.51e-05</t>
  </si>
  <si>
    <t>0.069</t>
  </si>
  <si>
    <t>I Wish You Would (Taylor's Version)</t>
  </si>
  <si>
    <t>0.00388</t>
  </si>
  <si>
    <t>9.48e-06</t>
  </si>
  <si>
    <t>Bad Blood (Taylor's Version)</t>
  </si>
  <si>
    <t>3.13e-06</t>
  </si>
  <si>
    <t>Wildest Dreams (Taylor's Version)</t>
  </si>
  <si>
    <t>9.95e-05</t>
  </si>
  <si>
    <t>How You Get The Girl (Taylor's Version)</t>
  </si>
  <si>
    <t>0.00198</t>
  </si>
  <si>
    <t>1.08e-05</t>
  </si>
  <si>
    <t>This Love (Taylor’s Version)</t>
  </si>
  <si>
    <t>I Know Places (Taylor's Version)</t>
  </si>
  <si>
    <t>0.071</t>
  </si>
  <si>
    <t>Clean (Taylor's Version)</t>
  </si>
  <si>
    <t>2.98e-05</t>
  </si>
  <si>
    <t>103.99</t>
  </si>
  <si>
    <t>Wonderland (Taylor's Version)</t>
  </si>
  <si>
    <t>1.1e-05</t>
  </si>
  <si>
    <t>You Are In Love (Taylor's Version)</t>
  </si>
  <si>
    <t>2.08e-06</t>
  </si>
  <si>
    <t>New Romantics (Taylor's Version)</t>
  </si>
  <si>
    <t>0.00516</t>
  </si>
  <si>
    <t>4.24e-06</t>
  </si>
  <si>
    <t>"Slut!" (Taylor's Version) (From The Vault)</t>
  </si>
  <si>
    <t>0.000112</t>
  </si>
  <si>
    <t>Say Don't Go (Taylor's Version) (From The Vault)</t>
  </si>
  <si>
    <t>5.82e-06</t>
  </si>
  <si>
    <t>Now That We Don't Talk (Taylor's Version) (From The Vault)</t>
  </si>
  <si>
    <t>3.05e-05</t>
  </si>
  <si>
    <t>0.034</t>
  </si>
  <si>
    <t>Suburban Legends (Taylor's Version) (From The Vault)</t>
  </si>
  <si>
    <t>-8.84</t>
  </si>
  <si>
    <t>Is It Over Now? (Taylor's Version) (From The Vault)</t>
  </si>
  <si>
    <t>0.035</t>
  </si>
  <si>
    <t>Bad Blood (feat. Kendrick Lamar) (Taylor's Version)</t>
  </si>
  <si>
    <t>1989 (Taylor's Version)</t>
  </si>
  <si>
    <t>Mine (Taylor's Version)</t>
  </si>
  <si>
    <t>Speak Now (Taylor's Version)</t>
  </si>
  <si>
    <t>0.00314</t>
  </si>
  <si>
    <t>1.93e-06</t>
  </si>
  <si>
    <t>Sparks Fly (Taylor’s Version)</t>
  </si>
  <si>
    <t>0.032</t>
  </si>
  <si>
    <t>Back To December (Taylor's Version)</t>
  </si>
  <si>
    <t>0.00705</t>
  </si>
  <si>
    <t>Dear John (Taylor's Version)</t>
  </si>
  <si>
    <t>-5.07</t>
  </si>
  <si>
    <t>Mean (Taylor's Version)</t>
  </si>
  <si>
    <t>-3.95</t>
  </si>
  <si>
    <t>The Story Of Us (Taylor's Version)</t>
  </si>
  <si>
    <t>0.00136</t>
  </si>
  <si>
    <t>Never Grow Up (Taylor's Version)</t>
  </si>
  <si>
    <t>0.029</t>
  </si>
  <si>
    <t>Enchanted (Taylor's Version)</t>
  </si>
  <si>
    <t>0.016</t>
  </si>
  <si>
    <t>Better Than Revenge (Taylor's Version)</t>
  </si>
  <si>
    <t>0.000795</t>
  </si>
  <si>
    <t>Innocent (Taylor's Version)</t>
  </si>
  <si>
    <t>Haunted (Taylor's Version)</t>
  </si>
  <si>
    <t>0.00552</t>
  </si>
  <si>
    <t>Last Kiss (Taylor's Version)</t>
  </si>
  <si>
    <t>3.57e-06</t>
  </si>
  <si>
    <t>Long Live (Taylor's Version)</t>
  </si>
  <si>
    <t>Ours (Taylor’s Version)</t>
  </si>
  <si>
    <t>Superman (Taylor’s Version)</t>
  </si>
  <si>
    <t>0.00207</t>
  </si>
  <si>
    <t>Electric Touch (feat. Fall Out Boy) (Taylor’s Version) (From The Vault)</t>
  </si>
  <si>
    <t>0.018</t>
  </si>
  <si>
    <t>When Emma Falls in Love (Taylor’s Version) (From The Vault)</t>
  </si>
  <si>
    <t>I Can See You (Taylor’s Version) (From The Vault)</t>
  </si>
  <si>
    <t>Castles Crumbling (feat. Hayley Williams) (Taylor’s Version) (From The Vault)</t>
  </si>
  <si>
    <t>Foolish One (Taylor’s Version) (From The Vault)</t>
  </si>
  <si>
    <t>Timeless (Taylor’s Version) (From The Vault)</t>
  </si>
  <si>
    <t>Lavender Haze</t>
  </si>
  <si>
    <t>Midnights (The Til Dawn Edition)</t>
  </si>
  <si>
    <t>0.00126</t>
  </si>
  <si>
    <t>-10.56</t>
  </si>
  <si>
    <t>Maroon</t>
  </si>
  <si>
    <t>1.45e-06</t>
  </si>
  <si>
    <t>-8.29</t>
  </si>
  <si>
    <t>Anti-Hero</t>
  </si>
  <si>
    <t>2.62e-06</t>
  </si>
  <si>
    <t>0.062</t>
  </si>
  <si>
    <t>Snow On The Beach (feat. Lana Del Rey)</t>
  </si>
  <si>
    <t>0.000598</t>
  </si>
  <si>
    <t>You're On Your Own, Kid</t>
  </si>
  <si>
    <t>1.55e-05</t>
  </si>
  <si>
    <t>Midnight Rain</t>
  </si>
  <si>
    <t>5.87e-05</t>
  </si>
  <si>
    <t>Question...?</t>
  </si>
  <si>
    <t>Vigilante Shit</t>
  </si>
  <si>
    <t>2.18e-05</t>
  </si>
  <si>
    <t>Bejeweled</t>
  </si>
  <si>
    <t>0.000143</t>
  </si>
  <si>
    <t>Labyrinth</t>
  </si>
  <si>
    <t>Karma</t>
  </si>
  <si>
    <t>0.065</t>
  </si>
  <si>
    <t>Sweet Nothing</t>
  </si>
  <si>
    <t>0.00011</t>
  </si>
  <si>
    <t>Mastermind</t>
  </si>
  <si>
    <t>0.00134</t>
  </si>
  <si>
    <t>125.96</t>
  </si>
  <si>
    <t>The Great War</t>
  </si>
  <si>
    <t>2.32e-05</t>
  </si>
  <si>
    <t>-8.93</t>
  </si>
  <si>
    <t>Bigger Than The Whole Sky</t>
  </si>
  <si>
    <t>0.00131</t>
  </si>
  <si>
    <t>Paris</t>
  </si>
  <si>
    <t>2.89e-05</t>
  </si>
  <si>
    <t>0.085</t>
  </si>
  <si>
    <t>110.94</t>
  </si>
  <si>
    <t>High Infidelity</t>
  </si>
  <si>
    <t>Glitch</t>
  </si>
  <si>
    <t>-9.65</t>
  </si>
  <si>
    <t>Would've, Could've, Should've</t>
  </si>
  <si>
    <t>0.00115</t>
  </si>
  <si>
    <t>Dear Reader</t>
  </si>
  <si>
    <t>0.00122</t>
  </si>
  <si>
    <t>Hits Different</t>
  </si>
  <si>
    <t>3.34e-06</t>
  </si>
  <si>
    <t>Snow On The Beach (feat. More Lana Del Rey)</t>
  </si>
  <si>
    <t>Karma (feat. Ice Spice)</t>
  </si>
  <si>
    <t>Midnights (3am Edition)</t>
  </si>
  <si>
    <t>Midnights</t>
  </si>
  <si>
    <t>State Of Grace (Taylor's Version)</t>
  </si>
  <si>
    <t>Red (Taylor's Version)</t>
  </si>
  <si>
    <t>0.000328</t>
  </si>
  <si>
    <t>0.00108</t>
  </si>
  <si>
    <t>1.62e-06</t>
  </si>
  <si>
    <t>Treacherous (Taylor's Version)</t>
  </si>
  <si>
    <t>0.000127</t>
  </si>
  <si>
    <t>I Knew You Were Trouble (Taylor's Version)</t>
  </si>
  <si>
    <t>All Too Well (Taylor's Version)</t>
  </si>
  <si>
    <t>0.00203</t>
  </si>
  <si>
    <t>22 (Taylor's Version)</t>
  </si>
  <si>
    <t>0.000443</t>
  </si>
  <si>
    <t>1.02e-05</t>
  </si>
  <si>
    <t>-5.62</t>
  </si>
  <si>
    <t>I Almost Do (Taylor's Version)</t>
  </si>
  <si>
    <t>145.88</t>
  </si>
  <si>
    <t>We Are Never Ever Getting Back Together (Taylor's Version)</t>
  </si>
  <si>
    <t>1.86e-06</t>
  </si>
  <si>
    <t>Stay Stay Stay (Taylor's Version)</t>
  </si>
  <si>
    <t>0.025</t>
  </si>
  <si>
    <t>The Last Time (feat. Gary Lightbody of Snow Patrol) (Taylor’s Version)</t>
  </si>
  <si>
    <t>Holy Ground (Taylor's Version)</t>
  </si>
  <si>
    <t>0.00218</t>
  </si>
  <si>
    <t>Sad Beautiful Tragic (Taylor's Version)</t>
  </si>
  <si>
    <t>9.19e-05</t>
  </si>
  <si>
    <t>The Lucky One (Taylor's Version)</t>
  </si>
  <si>
    <t>0.066</t>
  </si>
  <si>
    <t>Everything Has Changed (feat. Ed Sheeran) (Taylor’s Version)</t>
  </si>
  <si>
    <t>Starlight (Taylor's Version)</t>
  </si>
  <si>
    <t>0.00324</t>
  </si>
  <si>
    <t>Begin Again (Taylor's Version)</t>
  </si>
  <si>
    <t>0.075</t>
  </si>
  <si>
    <t>The Moment I Knew (Taylor's Version)</t>
  </si>
  <si>
    <t>0.031</t>
  </si>
  <si>
    <t>Come Back...Be Here (Taylor's Version)</t>
  </si>
  <si>
    <t>Girl At Home (Taylor's Version)</t>
  </si>
  <si>
    <t>0.00955</t>
  </si>
  <si>
    <t>1.88e-05</t>
  </si>
  <si>
    <t>State Of Grace (Acoustic Version) (Taylor's Version)</t>
  </si>
  <si>
    <t>1.57e-06</t>
  </si>
  <si>
    <t>Ronan (Taylor's Version)</t>
  </si>
  <si>
    <t>Better Man (Taylor's Version) (From The Vault)</t>
  </si>
  <si>
    <t>Nothing New (feat. Phoebe Bridgers) (Taylor’s Version) (From The Vault)</t>
  </si>
  <si>
    <t>101.96</t>
  </si>
  <si>
    <t>Babe (Taylor's Version) (From The Vault)</t>
  </si>
  <si>
    <t>2.83e-06</t>
  </si>
  <si>
    <t>Message In A Bottle (Taylor's Version) (From The Vault)</t>
  </si>
  <si>
    <t>0.00188</t>
  </si>
  <si>
    <t>3.72e-06</t>
  </si>
  <si>
    <t>0.083</t>
  </si>
  <si>
    <t>I Bet You Think About Me (feat. Chris Stapleton) (Taylor’s Version) (From The Vault)</t>
  </si>
  <si>
    <t>Forever Winter (Taylor's Version) (From The Vault)</t>
  </si>
  <si>
    <t>Run (feat. Ed Sheeran) (Taylor’s Version) (From The Vault)</t>
  </si>
  <si>
    <t>The Very First Night (Taylor's Version) (From The Vault)</t>
  </si>
  <si>
    <t>All Too Well (10 Minute Version) (Taylor's Version) (From The Vault)</t>
  </si>
  <si>
    <t>0.088</t>
  </si>
  <si>
    <t>Fearless (Taylor’s Version)</t>
  </si>
  <si>
    <t>Fearless (Taylor's Version)</t>
  </si>
  <si>
    <t>Fifteen (Taylor’s Version)</t>
  </si>
  <si>
    <t>-4.61</t>
  </si>
  <si>
    <t>Love Story (Taylor’s Version)</t>
  </si>
  <si>
    <t>3.97e-06</t>
  </si>
  <si>
    <t>Hey Stephen (Taylor’s Version)</t>
  </si>
  <si>
    <t>115.99</t>
  </si>
  <si>
    <t>White Horse (Taylor’s Version)</t>
  </si>
  <si>
    <t>You Belong With Me (Taylor’s Version)</t>
  </si>
  <si>
    <t>Breathe (feat. Colbie Caillat) (Taylor’s Version)</t>
  </si>
  <si>
    <t>Tell Me Why (Taylor’s Version)</t>
  </si>
  <si>
    <t>You’re Not Sorry (Taylor’s Version)</t>
  </si>
  <si>
    <t>-4.99</t>
  </si>
  <si>
    <t>The Way I Loved You (Taylor’s Version)</t>
  </si>
  <si>
    <t>0.0033</t>
  </si>
  <si>
    <t>Forever &amp; Always (Taylor’s Version)</t>
  </si>
  <si>
    <t>The Best Day (Taylor’s Version)</t>
  </si>
  <si>
    <t>Change (Taylor’s Version)</t>
  </si>
  <si>
    <t>0.000191</t>
  </si>
  <si>
    <t>Jump Then Fall (Taylor’s Version)</t>
  </si>
  <si>
    <t>Untouchable (Taylor’s Version)</t>
  </si>
  <si>
    <t>Forever &amp; Always (Piano Version) (Taylor’s Version)</t>
  </si>
  <si>
    <t>Come In With The Rain (Taylor’s Version)</t>
  </si>
  <si>
    <t>Superstar (Taylor’s Version)</t>
  </si>
  <si>
    <t>-6.69</t>
  </si>
  <si>
    <t>The Other Side Of The Door (Taylor’s Version)</t>
  </si>
  <si>
    <t>Today Was A Fairytale (Taylor’s Version)</t>
  </si>
  <si>
    <t>You All Over Me (feat. Maren Morris) (Taylor’s Version) (From The Vault)</t>
  </si>
  <si>
    <t>-7.61</t>
  </si>
  <si>
    <t>Mr. Perfectly Fine (Taylor’s Version) (From The Vault)</t>
  </si>
  <si>
    <t>We Were Happy (Taylor’s Version) (From The Vault)</t>
  </si>
  <si>
    <t>That’s When (feat. Keith Urban) (Taylor’s Version) (From The Vault)</t>
  </si>
  <si>
    <t>0.092</t>
  </si>
  <si>
    <t>Don’t You (Taylor’s Version) (From The Vault)</t>
  </si>
  <si>
    <t>1.2e-05</t>
  </si>
  <si>
    <t>Bye Bye Baby (Taylor’s Version) (From The Vault)</t>
  </si>
  <si>
    <t>-7.86</t>
  </si>
  <si>
    <t>willow</t>
  </si>
  <si>
    <t>evermore (deluxe version)</t>
  </si>
  <si>
    <t>0.00179</t>
  </si>
  <si>
    <t>champagne problems</t>
  </si>
  <si>
    <t>gold rush</t>
  </si>
  <si>
    <t>‘tis the damn season</t>
  </si>
  <si>
    <t>6.59e-05</t>
  </si>
  <si>
    <t>tolerate it</t>
  </si>
  <si>
    <t>2.67e-05</t>
  </si>
  <si>
    <t>no body, no crime (feat. HAIM)</t>
  </si>
  <si>
    <t>happiness</t>
  </si>
  <si>
    <t>dorothea</t>
  </si>
  <si>
    <t>coney island (feat. The National)</t>
  </si>
  <si>
    <t>0.000904</t>
  </si>
  <si>
    <t>ivy</t>
  </si>
  <si>
    <t>1.97e-05</t>
  </si>
  <si>
    <t>cowboy like me</t>
  </si>
  <si>
    <t>0.000155</t>
  </si>
  <si>
    <t>long story short</t>
  </si>
  <si>
    <t>marjorie</t>
  </si>
  <si>
    <t>0.000136</t>
  </si>
  <si>
    <t>closure</t>
  </si>
  <si>
    <t>4.83e-06</t>
  </si>
  <si>
    <t>evermore (feat. Bon Iver)</t>
  </si>
  <si>
    <t>0.00227</t>
  </si>
  <si>
    <t>right where you left me - bonus track</t>
  </si>
  <si>
    <t>0.000106</t>
  </si>
  <si>
    <t>it’s time to go - bonus track</t>
  </si>
  <si>
    <t>1.39e-05</t>
  </si>
  <si>
    <t>evermore</t>
  </si>
  <si>
    <t>the 1</t>
  </si>
  <si>
    <t>folklore: the long pond studio sessions (from the Disney+ special) [deluxe edition]</t>
  </si>
  <si>
    <t>7.14e-06</t>
  </si>
  <si>
    <t>cardigan</t>
  </si>
  <si>
    <t>0.000414</t>
  </si>
  <si>
    <t>the last great american dynasty</t>
  </si>
  <si>
    <t>0.00414</t>
  </si>
  <si>
    <t>exile (feat. Bon Iver)</t>
  </si>
  <si>
    <t>2.46e-05</t>
  </si>
  <si>
    <t>my tears ricochet</t>
  </si>
  <si>
    <t>mirrorball</t>
  </si>
  <si>
    <t>1.9e-06</t>
  </si>
  <si>
    <t>seven</t>
  </si>
  <si>
    <t>2.59e-05</t>
  </si>
  <si>
    <t>august</t>
  </si>
  <si>
    <t>6.93e-05</t>
  </si>
  <si>
    <t>this is me trying</t>
  </si>
  <si>
    <t>2.3e-05</t>
  </si>
  <si>
    <t>illicit affairs</t>
  </si>
  <si>
    <t>invisible string</t>
  </si>
  <si>
    <t>6.63e-05</t>
  </si>
  <si>
    <t>mad woman</t>
  </si>
  <si>
    <t>6.77e-06</t>
  </si>
  <si>
    <t>epiphany</t>
  </si>
  <si>
    <t>0.000326</t>
  </si>
  <si>
    <t>betty</t>
  </si>
  <si>
    <t>peace</t>
  </si>
  <si>
    <t>1.5e-05</t>
  </si>
  <si>
    <t>hoax</t>
  </si>
  <si>
    <t>7.9e-06</t>
  </si>
  <si>
    <t>-15.01</t>
  </si>
  <si>
    <t>118.84</t>
  </si>
  <si>
    <t>the lakes - bonus track</t>
  </si>
  <si>
    <t>1.3e-06</t>
  </si>
  <si>
    <t>the 1 - the long pond studio sessions</t>
  </si>
  <si>
    <t>0.026</t>
  </si>
  <si>
    <t>cardigan - the long pond studio sessions</t>
  </si>
  <si>
    <t>the last great american dynasty - the long pond studio sessions</t>
  </si>
  <si>
    <t>0.004</t>
  </si>
  <si>
    <t>exile (feat. Bon Iver) - the long pond studio sessions</t>
  </si>
  <si>
    <t>6.74e-05</t>
  </si>
  <si>
    <t>my tears ricochet - the long pond studio sessions</t>
  </si>
  <si>
    <t>1.01e-05</t>
  </si>
  <si>
    <t>-12.34</t>
  </si>
  <si>
    <t>mirrorball - the long pond studio sessions</t>
  </si>
  <si>
    <t>3.45e-05</t>
  </si>
  <si>
    <t>seven - the long pond studio sessions</t>
  </si>
  <si>
    <t>0.000126</t>
  </si>
  <si>
    <t>-11.49</t>
  </si>
  <si>
    <t>august - the long pond studio sessions</t>
  </si>
  <si>
    <t>4.77e-05</t>
  </si>
  <si>
    <t>this is me trying - the long pond studio sessions</t>
  </si>
  <si>
    <t>0.000898</t>
  </si>
  <si>
    <t>illicit affairs - the long pond studio sessions</t>
  </si>
  <si>
    <t>invisible string - the long pond studio sessions</t>
  </si>
  <si>
    <t>4.85e-06</t>
  </si>
  <si>
    <t>mad woman - the long pond studio sessions</t>
  </si>
  <si>
    <t>0.000168</t>
  </si>
  <si>
    <t>epiphany - the long pond studio sessions</t>
  </si>
  <si>
    <t>0.000392</t>
  </si>
  <si>
    <t>0.068</t>
  </si>
  <si>
    <t>93.87</t>
  </si>
  <si>
    <t>betty - the long pond studio sessions</t>
  </si>
  <si>
    <t>-9.5</t>
  </si>
  <si>
    <t>95.68</t>
  </si>
  <si>
    <t>peace - the long pond studio sessions</t>
  </si>
  <si>
    <t>7.61e-05</t>
  </si>
  <si>
    <t>hoax - the long pond studio sessions</t>
  </si>
  <si>
    <t>the lakes - the long pond studio sessions</t>
  </si>
  <si>
    <t>folklore (deluxe version)</t>
  </si>
  <si>
    <t>folklore</t>
  </si>
  <si>
    <t>7.28e-06</t>
  </si>
  <si>
    <t>0.000345</t>
  </si>
  <si>
    <t>0.0023</t>
  </si>
  <si>
    <t>5.62e-05</t>
  </si>
  <si>
    <t>-10.63</t>
  </si>
  <si>
    <t>129.86</t>
  </si>
  <si>
    <t>2.33e-06</t>
  </si>
  <si>
    <t>2.7e-05</t>
  </si>
  <si>
    <t>0.091</t>
  </si>
  <si>
    <t>7.28e-05</t>
  </si>
  <si>
    <t>4.74e-05</t>
  </si>
  <si>
    <t>7.73e-05</t>
  </si>
  <si>
    <t>0.055</t>
  </si>
  <si>
    <t>1.68e-05</t>
  </si>
  <si>
    <t>0.000402</t>
  </si>
  <si>
    <t>-13.69</t>
  </si>
  <si>
    <t>1.73e-05</t>
  </si>
  <si>
    <t>3.86e-06</t>
  </si>
  <si>
    <t>I Forgot That You Existed</t>
  </si>
  <si>
    <t>Lover</t>
  </si>
  <si>
    <t>2.03e-06</t>
  </si>
  <si>
    <t>Cruel Summer</t>
  </si>
  <si>
    <t>2.06e-05</t>
  </si>
  <si>
    <t>1.58e-05</t>
  </si>
  <si>
    <t>The Man</t>
  </si>
  <si>
    <t>0.054</t>
  </si>
  <si>
    <t>The Archer</t>
  </si>
  <si>
    <t>0.00569</t>
  </si>
  <si>
    <t>I Think He Knows</t>
  </si>
  <si>
    <t>0.00889</t>
  </si>
  <si>
    <t>0.000353</t>
  </si>
  <si>
    <t>Miss Americana &amp; The Heartbreak Prince</t>
  </si>
  <si>
    <t>0.028</t>
  </si>
  <si>
    <t>0.00615</t>
  </si>
  <si>
    <t>Paper Rings</t>
  </si>
  <si>
    <t>1.36e-05</t>
  </si>
  <si>
    <t>Cornelia Street</t>
  </si>
  <si>
    <t>0.000189</t>
  </si>
  <si>
    <t>Death By A Thousand Cuts</t>
  </si>
  <si>
    <t>London Boy</t>
  </si>
  <si>
    <t>0.000104</t>
  </si>
  <si>
    <t>Soon You’ll Get Better (feat. The Chicks)</t>
  </si>
  <si>
    <t>False God</t>
  </si>
  <si>
    <t>0.000147</t>
  </si>
  <si>
    <t>79.97</t>
  </si>
  <si>
    <t>You Need To Calm Down</t>
  </si>
  <si>
    <t>0.00929</t>
  </si>
  <si>
    <t>Afterglow</t>
  </si>
  <si>
    <t>ME! (feat. Brendon Urie of Panic! At The Disco)</t>
  </si>
  <si>
    <t>0.033</t>
  </si>
  <si>
    <t>It’s Nice To Have A Friend</t>
  </si>
  <si>
    <t>0.000337</t>
  </si>
  <si>
    <t>Daylight</t>
  </si>
  <si>
    <t>0.000173</t>
  </si>
  <si>
    <t>...Ready For It?</t>
  </si>
  <si>
    <t>reputation</t>
  </si>
  <si>
    <t>End Game</t>
  </si>
  <si>
    <t>0.00845</t>
  </si>
  <si>
    <t>I Did Something Bad</t>
  </si>
  <si>
    <t>2.11e-05</t>
  </si>
  <si>
    <t>Don’t Blame Me</t>
  </si>
  <si>
    <t>1.76e-05</t>
  </si>
  <si>
    <t>Delicate</t>
  </si>
  <si>
    <t>0.000357</t>
  </si>
  <si>
    <t>Look What You Made Me Do</t>
  </si>
  <si>
    <t>1.41e-05</t>
  </si>
  <si>
    <t>So It Goes...</t>
  </si>
  <si>
    <t>1.1e-06</t>
  </si>
  <si>
    <t>Gorgeous</t>
  </si>
  <si>
    <t>Getaway Car</t>
  </si>
  <si>
    <t>0.00465</t>
  </si>
  <si>
    <t>2.23e-06</t>
  </si>
  <si>
    <t>King Of My Heart</t>
  </si>
  <si>
    <t>0.00882</t>
  </si>
  <si>
    <t>2.21e-06</t>
  </si>
  <si>
    <t>Dancing With Our Hands Tied</t>
  </si>
  <si>
    <t>Dress</t>
  </si>
  <si>
    <t>This Is Why We Can't Have Nice Things</t>
  </si>
  <si>
    <t>163.96</t>
  </si>
  <si>
    <t>Call It What You Want</t>
  </si>
  <si>
    <t>0.000221</t>
  </si>
  <si>
    <t>New Year’s Day</t>
  </si>
  <si>
    <t>All Too Well</t>
  </si>
  <si>
    <t>reputation Stadium Tour Surprise Song Playlist</t>
  </si>
  <si>
    <t>0.000334</t>
  </si>
  <si>
    <t>Wildest Dreams</t>
  </si>
  <si>
    <t>0.00138</t>
  </si>
  <si>
    <t>The Best Day</t>
  </si>
  <si>
    <t>4.1e-06</t>
  </si>
  <si>
    <t>Red</t>
  </si>
  <si>
    <t>0.000124</t>
  </si>
  <si>
    <t>Holy Ground</t>
  </si>
  <si>
    <t>0.0022</t>
  </si>
  <si>
    <t>Teardrops On My Guitar - Radio Single Remix</t>
  </si>
  <si>
    <t>Our Song</t>
  </si>
  <si>
    <t>-5.05</t>
  </si>
  <si>
    <t>0.00254</t>
  </si>
  <si>
    <t>0.00146</t>
  </si>
  <si>
    <t>I Knew You Were Trouble.</t>
  </si>
  <si>
    <t>0.00476</t>
  </si>
  <si>
    <t>2.74e-06</t>
  </si>
  <si>
    <t>I Don’t Wanna Live Forever (Fifty Shades Darker)</t>
  </si>
  <si>
    <t>0.059</t>
  </si>
  <si>
    <t>1.8e-05</t>
  </si>
  <si>
    <t>Mean</t>
  </si>
  <si>
    <t>How You Get The Girl</t>
  </si>
  <si>
    <t>0.00363</t>
  </si>
  <si>
    <t>0.00899</t>
  </si>
  <si>
    <t>Fifteen</t>
  </si>
  <si>
    <t>0.027</t>
  </si>
  <si>
    <t>Mine</t>
  </si>
  <si>
    <t>0.00311</t>
  </si>
  <si>
    <t>3.1e-06</t>
  </si>
  <si>
    <t>Sparks Fly</t>
  </si>
  <si>
    <t>0.041</t>
  </si>
  <si>
    <t>-2.98</t>
  </si>
  <si>
    <t>State Of Grace</t>
  </si>
  <si>
    <t>0.000182</t>
  </si>
  <si>
    <t>Haunted</t>
  </si>
  <si>
    <t>Never Grow Up</t>
  </si>
  <si>
    <t>Treacherous</t>
  </si>
  <si>
    <t>4.3e-06</t>
  </si>
  <si>
    <t>Babe</t>
  </si>
  <si>
    <t>171.78</t>
  </si>
  <si>
    <t>Welcome To New York</t>
  </si>
  <si>
    <t>1.69e-06</t>
  </si>
  <si>
    <t>Fearless</t>
  </si>
  <si>
    <t>Enchanted</t>
  </si>
  <si>
    <t>0.00117</t>
  </si>
  <si>
    <t>Change</t>
  </si>
  <si>
    <t>0.00418</t>
  </si>
  <si>
    <t>Ours</t>
  </si>
  <si>
    <t>0.087</t>
  </si>
  <si>
    <t>Out Of The Woods</t>
  </si>
  <si>
    <t>0.000743</t>
  </si>
  <si>
    <t>1.07e-05</t>
  </si>
  <si>
    <t>Come Back...Be Here</t>
  </si>
  <si>
    <t>0.00471</t>
  </si>
  <si>
    <t>2.06e-06</t>
  </si>
  <si>
    <t>A Place in this World</t>
  </si>
  <si>
    <t>This Love</t>
  </si>
  <si>
    <t>The Lucky One</t>
  </si>
  <si>
    <t>Invisible</t>
  </si>
  <si>
    <t>Breathe</t>
  </si>
  <si>
    <t>Better Man</t>
  </si>
  <si>
    <t>Jump Then Fall</t>
  </si>
  <si>
    <t>0.074</t>
  </si>
  <si>
    <t>Begin Again</t>
  </si>
  <si>
    <t>3.49e-06</t>
  </si>
  <si>
    <t>Tied Together with a Smile</t>
  </si>
  <si>
    <t>The Story Of Us</t>
  </si>
  <si>
    <t>0.00556</t>
  </si>
  <si>
    <t>0.000318</t>
  </si>
  <si>
    <t>-3.63</t>
  </si>
  <si>
    <t>Forever &amp; Always</t>
  </si>
  <si>
    <t>-5.02</t>
  </si>
  <si>
    <t>Hey Stephen</t>
  </si>
  <si>
    <t>Speak Now</t>
  </si>
  <si>
    <t>Wonderland</t>
  </si>
  <si>
    <t>2.57e-05</t>
  </si>
  <si>
    <t>White Horse</t>
  </si>
  <si>
    <t>I'm Only Me When I'm With You</t>
  </si>
  <si>
    <t>0.00454</t>
  </si>
  <si>
    <t>0.000462</t>
  </si>
  <si>
    <t>Starlight</t>
  </si>
  <si>
    <t>0.000474</t>
  </si>
  <si>
    <t>I Know Places</t>
  </si>
  <si>
    <t>1989 (Deluxe)</t>
  </si>
  <si>
    <t>1.64e-06</t>
  </si>
  <si>
    <t>Blank Space</t>
  </si>
  <si>
    <t>Style</t>
  </si>
  <si>
    <t>0.00245</t>
  </si>
  <si>
    <t>0.00258</t>
  </si>
  <si>
    <t>1.19e-05</t>
  </si>
  <si>
    <t>All You Had To Do Was Stay</t>
  </si>
  <si>
    <t>0.00201</t>
  </si>
  <si>
    <t>2.02e-05</t>
  </si>
  <si>
    <t>96.97</t>
  </si>
  <si>
    <t>Shake It Off</t>
  </si>
  <si>
    <t>I Wish You Would</t>
  </si>
  <si>
    <t>4.95e-05</t>
  </si>
  <si>
    <t>Bad Blood</t>
  </si>
  <si>
    <t>6.16e-06</t>
  </si>
  <si>
    <t>0.00364</t>
  </si>
  <si>
    <t>0.00868</t>
  </si>
  <si>
    <t>143.95</t>
  </si>
  <si>
    <t>Clean</t>
  </si>
  <si>
    <t>103.97</t>
  </si>
  <si>
    <t>You Are In Love</t>
  </si>
  <si>
    <t>0.000108</t>
  </si>
  <si>
    <t>New Romantics</t>
  </si>
  <si>
    <t>0.00463</t>
  </si>
  <si>
    <t>0.000458</t>
  </si>
  <si>
    <t>-5.87</t>
  </si>
  <si>
    <t>I Know Places - Voice Memo</t>
  </si>
  <si>
    <t>I Wish You Would - Voice Memo</t>
  </si>
  <si>
    <t>Blank Space - Voice Memo</t>
  </si>
  <si>
    <t>1.76e-06</t>
  </si>
  <si>
    <t>0.00256</t>
  </si>
  <si>
    <t>0.00143</t>
  </si>
  <si>
    <t>0.00103</t>
  </si>
  <si>
    <t>1.23e-05</t>
  </si>
  <si>
    <t>0.00196</t>
  </si>
  <si>
    <t>9.9e-05</t>
  </si>
  <si>
    <t>6.45e-06</t>
  </si>
  <si>
    <t>0.0056</t>
  </si>
  <si>
    <t>0.00458</t>
  </si>
  <si>
    <t>Red (Deluxe Edition)</t>
  </si>
  <si>
    <t>0.000197</t>
  </si>
  <si>
    <t>8.87e-05</t>
  </si>
  <si>
    <t>2.25e-06</t>
  </si>
  <si>
    <t>0.0002</t>
  </si>
  <si>
    <t>0.00215</t>
  </si>
  <si>
    <t>0.0013</t>
  </si>
  <si>
    <t>I Almost Do</t>
  </si>
  <si>
    <t>4.13e-05</t>
  </si>
  <si>
    <t>We Are Never Ever Getting Back Together</t>
  </si>
  <si>
    <t>0.00957</t>
  </si>
  <si>
    <t>2.65e-05</t>
  </si>
  <si>
    <t>Stay Stay Stay</t>
  </si>
  <si>
    <t>1.29e-06</t>
  </si>
  <si>
    <t>-6.67</t>
  </si>
  <si>
    <t>The Last Time</t>
  </si>
  <si>
    <t>3.15e-06</t>
  </si>
  <si>
    <t>0.00208</t>
  </si>
  <si>
    <t>Sad Beautiful Tragic</t>
  </si>
  <si>
    <t>Everything Has Changed</t>
  </si>
  <si>
    <t>3.89e-06</t>
  </si>
  <si>
    <t>0.000335</t>
  </si>
  <si>
    <t>3.52e-06</t>
  </si>
  <si>
    <t>The Moment I Knew</t>
  </si>
  <si>
    <t>1.47e-05</t>
  </si>
  <si>
    <t>2.01e-06</t>
  </si>
  <si>
    <t>Girl At Home</t>
  </si>
  <si>
    <t>-5.86</t>
  </si>
  <si>
    <t>Treacherous - Original Demo Recording</t>
  </si>
  <si>
    <t>6.14e-05</t>
  </si>
  <si>
    <t>Red - Original Demo Recording</t>
  </si>
  <si>
    <t>0.000235</t>
  </si>
  <si>
    <t>State Of Grace - Acoustic</t>
  </si>
  <si>
    <t>0.000169</t>
  </si>
  <si>
    <t>-15.91</t>
  </si>
  <si>
    <t>Sparks Fly - Live/2011</t>
  </si>
  <si>
    <t>Speak Now World Tour Live</t>
  </si>
  <si>
    <t>0.00917</t>
  </si>
  <si>
    <t>Mine - Live/2011</t>
  </si>
  <si>
    <t>0.00233</t>
  </si>
  <si>
    <t>The Story Of Us - Live</t>
  </si>
  <si>
    <t>0.00048</t>
  </si>
  <si>
    <t>Mean - Live/2011</t>
  </si>
  <si>
    <t>Ours - Live/2011</t>
  </si>
  <si>
    <t>-10.21</t>
  </si>
  <si>
    <t>Back To December/Apologize/You're Not Sorry - Live/2011/Medley</t>
  </si>
  <si>
    <t>Better Than Revenge - Live/2011</t>
  </si>
  <si>
    <t>0.00306</t>
  </si>
  <si>
    <t>Speak Now - Live/2011</t>
  </si>
  <si>
    <t>1.28e-06</t>
  </si>
  <si>
    <t>Last Kiss - Live/2011</t>
  </si>
  <si>
    <t>8.73e-06</t>
  </si>
  <si>
    <t>Drops Of Jupiter - Live/2011</t>
  </si>
  <si>
    <t>Bette Davis Eyes - Live/2011</t>
  </si>
  <si>
    <t>I Want You Back - Live/2011</t>
  </si>
  <si>
    <t>0.000122</t>
  </si>
  <si>
    <t>Dear John - Live/2011</t>
  </si>
  <si>
    <t>Enchanted - Live/2011</t>
  </si>
  <si>
    <t>2.34e-06</t>
  </si>
  <si>
    <t>Haunted - Live/2011</t>
  </si>
  <si>
    <t>Long Live - Live/2011</t>
  </si>
  <si>
    <t>0.0053</t>
  </si>
  <si>
    <t>Mine - POP Mix</t>
  </si>
  <si>
    <t>0.00461</t>
  </si>
  <si>
    <t>1.21e-06</t>
  </si>
  <si>
    <t>Back To December</t>
  </si>
  <si>
    <t>-3.75</t>
  </si>
  <si>
    <t>Dear John</t>
  </si>
  <si>
    <t>1.65e-06</t>
  </si>
  <si>
    <t>0.000315</t>
  </si>
  <si>
    <t>0.00161</t>
  </si>
  <si>
    <t>139.92</t>
  </si>
  <si>
    <t>0.000388</t>
  </si>
  <si>
    <t>Better Than Revenge</t>
  </si>
  <si>
    <t>Innocent</t>
  </si>
  <si>
    <t>Last Kiss</t>
  </si>
  <si>
    <t>3.75e-05</t>
  </si>
  <si>
    <t>Long Live</t>
  </si>
  <si>
    <t>7.47e-05</t>
  </si>
  <si>
    <t>Speak Now (Deluxe Package)</t>
  </si>
  <si>
    <t>If This Was A Movie</t>
  </si>
  <si>
    <t>4.05e-06</t>
  </si>
  <si>
    <t>Superman</t>
  </si>
  <si>
    <t>1.94e-06</t>
  </si>
  <si>
    <t>Back To December - Acoustic</t>
  </si>
  <si>
    <t>Haunted - Acoustic Version</t>
  </si>
  <si>
    <t>0.00327</t>
  </si>
  <si>
    <t>4.55e-06</t>
  </si>
  <si>
    <t>141.95</t>
  </si>
  <si>
    <t>0.00487</t>
  </si>
  <si>
    <t>0.000372</t>
  </si>
  <si>
    <t>139.91</t>
  </si>
  <si>
    <t>Fearless (Platinum Edition)</t>
  </si>
  <si>
    <t>Untouchable</t>
  </si>
  <si>
    <t>3.78e-06</t>
  </si>
  <si>
    <t>Forever &amp; Always - Piano Version</t>
  </si>
  <si>
    <t>Come In With The Rain</t>
  </si>
  <si>
    <t>2.47e-06</t>
  </si>
  <si>
    <t>143.94</t>
  </si>
  <si>
    <t>SuperStar</t>
  </si>
  <si>
    <t>The Other Side Of The Door</t>
  </si>
  <si>
    <t>1.04e-06</t>
  </si>
  <si>
    <t>-4.4</t>
  </si>
  <si>
    <t>Love Story</t>
  </si>
  <si>
    <t>0.073</t>
  </si>
  <si>
    <t>2.66e-06</t>
  </si>
  <si>
    <t>You Belong With Me</t>
  </si>
  <si>
    <t>Tell Me Why</t>
  </si>
  <si>
    <t>3.41e-06</t>
  </si>
  <si>
    <t>You're Not Sorry</t>
  </si>
  <si>
    <t>2.3e-06</t>
  </si>
  <si>
    <t>The Way I Loved You</t>
  </si>
  <si>
    <t>0.036</t>
  </si>
  <si>
    <t>Fearless (International Version)</t>
  </si>
  <si>
    <t>-4.43</t>
  </si>
  <si>
    <t>0.072</t>
  </si>
  <si>
    <t>3.87e-06</t>
  </si>
  <si>
    <t>92.71</t>
  </si>
  <si>
    <t>1.98e-05</t>
  </si>
  <si>
    <t>-7.39</t>
  </si>
  <si>
    <t>1.99e-06</t>
  </si>
  <si>
    <t>2.39e-06</t>
  </si>
  <si>
    <t>133.96</t>
  </si>
  <si>
    <t>3.04e-06</t>
  </si>
  <si>
    <t>0.037</t>
  </si>
  <si>
    <t>Our Song - International Mix</t>
  </si>
  <si>
    <t>0.00739</t>
  </si>
  <si>
    <t>1.11e-06</t>
  </si>
  <si>
    <t>Teardrops On My Guitar - International Mix</t>
  </si>
  <si>
    <t>0.00755</t>
  </si>
  <si>
    <t>Should've Said No - International Mix</t>
  </si>
  <si>
    <t>0.00505</t>
  </si>
  <si>
    <t>0.000437</t>
  </si>
  <si>
    <t>Love Story - Live From Clear Channel Stripped 2008</t>
  </si>
  <si>
    <t>Live From Clear Channel Stripped 2008</t>
  </si>
  <si>
    <t>Fearless - Live From Clear Channel Stripped 2008</t>
  </si>
  <si>
    <t>Beautiful Eyes - Live From Clear Channel Stripped 2008</t>
  </si>
  <si>
    <t>Untouchable - Live From Clear Channel Stripped 2008</t>
  </si>
  <si>
    <t>Teardrops On My Guitar - Live From Clear Channel Stripped 2008</t>
  </si>
  <si>
    <t>Picture To Burn - Live From Clear Channel Stripped 2008</t>
  </si>
  <si>
    <t>Should've Said No - Live From Clear Channel Stripped 2008</t>
  </si>
  <si>
    <t>Change - Live From Clear Channel Stripped 2008</t>
  </si>
  <si>
    <t>Tim McGraw</t>
  </si>
  <si>
    <t>Taylor Swift (Deluxe Edition)</t>
  </si>
  <si>
    <t>Picture To Burn</t>
  </si>
  <si>
    <t>0.051</t>
  </si>
  <si>
    <t>Cold As You</t>
  </si>
  <si>
    <t>The Outside</t>
  </si>
  <si>
    <t>0.00491</t>
  </si>
  <si>
    <t>Stay Beautiful</t>
  </si>
  <si>
    <t>Should've Said No</t>
  </si>
  <si>
    <t>Mary's Song (Oh My My My)</t>
  </si>
  <si>
    <t>-5.28</t>
  </si>
  <si>
    <t>0.00452</t>
  </si>
  <si>
    <t>0.000807</t>
  </si>
  <si>
    <t>A Perfectly Good Heart</t>
  </si>
  <si>
    <t>0.00349</t>
  </si>
  <si>
    <t>Teardrops on My Guitar - Pop Version</t>
  </si>
  <si>
    <t>year</t>
  </si>
  <si>
    <t>duration_ms2</t>
  </si>
  <si>
    <t>mood_category</t>
  </si>
  <si>
    <t>energy_category</t>
  </si>
  <si>
    <t>Row Labels</t>
  </si>
  <si>
    <t>Grand Total</t>
  </si>
  <si>
    <t>Average of popularity</t>
  </si>
  <si>
    <t>Average of duration_ms2</t>
  </si>
  <si>
    <t>Max of popularity</t>
  </si>
  <si>
    <t>Average of energy</t>
  </si>
  <si>
    <t>Average of danceability</t>
  </si>
  <si>
    <t>Average of valence</t>
  </si>
  <si>
    <t>popularity_group</t>
  </si>
  <si>
    <t>Less Popular</t>
  </si>
  <si>
    <t>Mid</t>
  </si>
  <si>
    <t>Popular</t>
  </si>
  <si>
    <t>Average of tempo</t>
  </si>
  <si>
    <t>Low Energy</t>
  </si>
  <si>
    <t>Medium Energy</t>
  </si>
  <si>
    <t>Happy</t>
  </si>
  <si>
    <t>Neutral</t>
  </si>
  <si>
    <t>Sad</t>
  </si>
  <si>
    <t>Count of name</t>
  </si>
  <si>
    <t>Korelasi</t>
  </si>
  <si>
    <t>Danceability</t>
  </si>
  <si>
    <t>Energy</t>
  </si>
  <si>
    <t>Velence</t>
  </si>
  <si>
    <t>Tempo</t>
  </si>
  <si>
    <t xml:space="preserve">Fitur </t>
  </si>
  <si>
    <t>Acousticness</t>
  </si>
  <si>
    <t>Nilai</t>
  </si>
  <si>
    <t>Arti</t>
  </si>
  <si>
    <t>Kuat</t>
  </si>
  <si>
    <t>0,3 - 0,6</t>
  </si>
  <si>
    <t>Sedang</t>
  </si>
  <si>
    <t xml:space="preserve">0,7 - 1 </t>
  </si>
  <si>
    <t>0 - 0,2</t>
  </si>
  <si>
    <t>Lemah</t>
  </si>
  <si>
    <t>Negatif</t>
  </si>
  <si>
    <t>Berlawanan</t>
  </si>
  <si>
    <t>(Multiple Items)</t>
  </si>
  <si>
    <t>,name,album,release_date,track_number,id,uri,acousticness,danceability,energy,instrumentalness,liveness,loudness,speechiness,tempo,valence,popularity,duration_ms</t>
  </si>
  <si>
    <t>0,Fortnight (feat. Post Malone),THE TORTURED POETS DEPARTMENT: THE ANTHOLOGY,2024-04-19,1,6dODwocEuGzHAavXqTbwHv,spotify:track:6dODwocEuGzHAavXqTbwHv,0.502,0.504,0.386,1.53e-05,0.0961,-10.976,0.0308,192.004,0.281,82,228965</t>
  </si>
  <si>
    <t>1,The Tortured Poets Department,THE TORTURED POETS DEPARTMENT: THE ANTHOLOGY,2024-04-19,2,4PdLaGZubp4lghChqp8erB,spotify:track:4PdLaGZubp4lghChqp8erB,0.0483,0.604,0.428,0.0,0.126,-8.441,0.0255,110.259,0.292,79,293048</t>
  </si>
  <si>
    <t>2,My Boy Only Breaks His Favorite Toys,THE TORTURED POETS DEPARTMENT: THE ANTHOLOGY,2024-04-19,3,7uGYWMwRy24dm7RUDDhUlD,spotify:track:7uGYWMwRy24dm7RUDDhUlD,0.137,0.596,0.563,0.0,0.302,-7.362,0.0269,97.073,0.481,80,203801</t>
  </si>
  <si>
    <t>3,Down Bad,THE TORTURED POETS DEPARTMENT: THE ANTHOLOGY,2024-04-19,4,1kbEbBdEgQdQeLXCJh28pJ,spotify:track:1kbEbBdEgQdQeLXCJh28pJ,0.56,0.541,0.366,1e-06,0.0946,-10.412,0.0748,159.707,0.168,82,261228</t>
  </si>
  <si>
    <t>4,"So Long, London",THE TORTURED POETS DEPARTMENT: THE ANTHOLOGY,2024-04-19,5,7wAkQFShJ27V8362MqevQr,spotify:track:7wAkQFShJ27V8362MqevQr,0.73,0.423,0.533,0.00264,0.0816,-11.388,0.322,160.218,0.248,80,262974</t>
  </si>
  <si>
    <t>5,But Daddy I Love Him,THE TORTURED POETS DEPARTMENT: THE ANTHOLOGY,2024-04-19,6,4QMgEffJQuKtjCNvqfRZ0m,spotify:track:4QMgEffJQuKtjCNvqfRZ0m,0.384,0.521,0.72,0.0,0.135,-7.684,0.104,79.943,0.438,81,340428</t>
  </si>
  <si>
    <t>6,Fresh Out The Slammer,THE TORTURED POETS DEPARTMENT: THE ANTHOLOGY,2024-04-19,7,7IWcDWOfiooH5hRs9XOVYz,spotify:track:7IWcDWOfiooH5hRs9XOVYz,0.624,0.33,0.483,0.0,0.111,-9.394,0.0399,87.115,0.34,78,210789</t>
  </si>
  <si>
    <t>7,Florida!!! (feat. Florence + The Machine),THE TORTURED POETS DEPARTMENT: THE ANTHOLOGY,2024-04-19,8,5ExOm0dh4NyRyAdSAO9hyM,spotify:track:5ExOm0dh4NyRyAdSAO9hyM,0.178,0.533,0.573,0.0,0.309,-7.123,0.138,150.088,0.398,79,215463</t>
  </si>
  <si>
    <t>8,Guilty as Sin?,THE TORTURED POETS DEPARTMENT: THE ANTHOLOGY,2024-04-19,9,799KrpEbhZp0MHeiA8YK9P,spotify:track:799KrpEbhZp0MHeiA8YK9P,0.607,0.626,0.428,0.0,0.0921,-8.374,0.0261,94.95,0.487,82,254365</t>
  </si>
  <si>
    <t>9,Who’s Afraid of Little Old Me?,THE TORTURED POETS DEPARTMENT: THE ANTHOLOGY,2024-04-19,10,2d8UxVNhJinc8uat9PoM9y,spotify:track:2d8UxVNhJinc8uat9PoM9y,0.315,0.606,0.338,0.0,0.106,-10.555,0.048,119.88,0.238,81,334084</t>
  </si>
  <si>
    <t>10,I Can Fix Him (No Really I Can),THE TORTURED POETS DEPARTMENT: THE ANTHOLOGY,2024-04-19,11,5chnRTB9qMK3W1M41SnU9s,spotify:track:5chnRTB9qMK3W1M41SnU9s,0.768,0.661,0.257,1.72e-06,0.176,-13.961,0.045,106.896,0.318,77,156297</t>
  </si>
  <si>
    <t>11,loml,THE TORTURED POETS DEPARTMENT: THE ANTHOLOGY,2024-04-19,12,3YkNIrAvbKNrrwwEd7NVLl,spotify:track:3YkNIrAvbKNrrwwEd7NVLl,0.858,0.423,0.272,0.0,0.108,-12.56,0.0489,78.539,0.195,80,277156</t>
  </si>
  <si>
    <t>12,I Can Do It With a Broken Heart,THE TORTURED POETS DEPARTMENT: THE ANTHOLOGY,2024-04-19,13,2fPvQfGQEZOKtJ9qXeL4x8,spotify:track:2fPvQfGQEZOKtJ9qXeL4x8,0.123,0.701,0.751,0.0,0.15,-8.39,0.0502,129.994,0.22,82,218004</t>
  </si>
  <si>
    <t>13,The Smallest Man Who Ever Lived,THE TORTURED POETS DEPARTMENT: THE ANTHOLOGY,2024-04-19,14,1xtw1krCR6Dw2KwkXw5z63,spotify:track:1xtw1krCR6Dw2KwkXw5z63,0.52,0.426,0.41,0.0,0.338,-9.083,0.0581,142.377,0.263,81,245541</t>
  </si>
  <si>
    <t>14,The Alchemy,THE TORTURED POETS DEPARTMENT: THE ANTHOLOGY,2024-04-19,15,1tuNqJOtRQVHvONR8Lg3MZ,spotify:track:1tuNqJOtRQVHvONR8Lg3MZ,0.422,0.64,0.421,0.0,0.103,-8.802,0.0273,100.056,0.353,78,196900</t>
  </si>
  <si>
    <t>15,Clara Bow,THE TORTURED POETS DEPARTMENT: THE ANTHOLOGY,2024-04-19,16,4d9PtIEVij9jW5OaLinH66,spotify:track:4d9PtIEVij9jW5OaLinH66,0.636,0.686,0.318,0.00144,0.106,-11.046,0.0263,104.088,0.214,76,216662</t>
  </si>
  <si>
    <t>16,The Black Dog,THE TORTURED POETS DEPARTMENT: THE ANTHOLOGY,2024-04-19,17,62E2nR0od0M5HYxuYLaDz7,spotify:track:62E2nR0od0M5HYxuYLaDz7,0.707,0.527,0.27,0.0,0.102,-10.855,0.038,154.042,0.23,79,238857</t>
  </si>
  <si>
    <t>17,imgonnagetyouback,THE TORTURED POETS DEPARTMENT: THE ANTHOLOGY,2024-04-19,18,1kcwpPDQnqEqmezzXdJTCP,spotify:track:1kcwpPDQnqEqmezzXdJTCP,0.608,0.784,0.391,0.0,0.252,-9.471,0.0633,110.007,0.15,81,222072</t>
  </si>
  <si>
    <t>18,The Albatross,THE TORTURED POETS DEPARTMENT: THE ANTHOLOGY,2024-04-19,19,4EF6IyONolQy0bIQXm2EmX,spotify:track:4EF6IyONolQy0bIQXm2EmX,0.655,0.352,0.479,0.0,0.0935,-8.942,0.0583,172.013,0.292,77,183878</t>
  </si>
  <si>
    <t>19,Chloe or Sam or Sophia or Marcus,THE TORTURED POETS DEPARTMENT: THE ANTHOLOGY,2024-04-19,20,1rmEsOezwf2lmIZTMAO5Ag,spotify:track:1rmEsOezwf2lmIZTMAO5Ag,0.78,0.516,0.451,0.0,0.105,-8.552,0.0446,70.266,0.218,77,213281</t>
  </si>
  <si>
    <t>20,How Did It End?,THE TORTURED POETS DEPARTMENT: THE ANTHOLOGY,2024-04-19,21,5Bedn0svl0ZD7RGmJkmKKw,spotify:track:5Bedn0svl0ZD7RGmJkmKKw,0.785,0.492,0.379,0.00093,0.108,-8.859,0.0257,83.993,0.273,80,238706</t>
  </si>
  <si>
    <t>21,So High School,THE TORTURED POETS DEPARTMENT: THE ANTHOLOGY,2024-04-19,22,7Mts0OfPorF4iwOomvfqn1,spotify:track:7Mts0OfPorF4iwOomvfqn1,0.0274,0.366,0.866,3.07e-06,0.106,-4.514,0.0466,176.07,0.293,82,228800</t>
  </si>
  <si>
    <t>22,I Hate It Here,THE TORTURED POETS DEPARTMENT: THE ANTHOLOGY,2024-04-19,23,3hlGuz3loYoLfI3bpwieWq,spotify:track:3hlGuz3loYoLfI3bpwieWq,0.717,0.485,0.562,0.0,0.357,-7.197,0.0346,105.953,0.297,78,243875</t>
  </si>
  <si>
    <t>23,thanK you aIMee,THE TORTURED POETS DEPARTMENT: THE ANTHOLOGY,2024-04-19,24,7ogK4lJDVDMU6A6vYR5rvD,spotify:track:7ogK4lJDVDMU6A6vYR5rvD,0.609,0.609,0.541,0.0,0.122,-8.013,0.0346,95.997,0.252,76,263817</t>
  </si>
  <si>
    <t>24,I Look in People's Windows,THE TORTURED POETS DEPARTMENT: THE ANTHOLOGY,2024-04-19,25,1Zai5UJ2di3qEuR2HeT2s8,spotify:track:1Zai5UJ2di3qEuR2HeT2s8,0.69,0.763,0.274,0.0,0.164,-11.429,0.0738,90.796,0.385,76,131907</t>
  </si>
  <si>
    <t>25,The Prophecy,THE TORTURED POETS DEPARTMENT: THE ANTHOLOGY,2024-04-19,26,18WFFUIsewmA8g31KAeo3e,spotify:track:18WFFUIsewmA8g31KAeo3e,0.825,0.421,0.525,2.67e-06,0.308,-10.359,0.0472,167.927,0.535,81,249807</t>
  </si>
  <si>
    <t>26,Cassandra,THE TORTURED POETS DEPARTMENT: THE ANTHOLOGY,2024-04-19,27,0g4fMVo4JjwnIpTfFfLdxS,spotify:track:0g4fMVo4JjwnIpTfFfLdxS,0.806,0.587,0.587,0.0,0.137,-9.879,0.0595,139.963,0.514,76,240205</t>
  </si>
  <si>
    <t>27,Peter,THE TORTURED POETS DEPARTMENT: THE ANTHOLOGY,2024-04-19,28,3zMDGj4D8ogaYgAIZPeU7S,spotify:track:3zMDGj4D8ogaYgAIZPeU7S,0.805,0.342,0.376,0.0,0.0593,-8.212,0.0372,176.859,0.29,77,283957</t>
  </si>
  <si>
    <t>28,The Bolter,THE TORTURED POETS DEPARTMENT: THE ANTHOLOGY,2024-04-19,29,2913xXOVAIDAqxzV2g4VcU,spotify:track:2913xXOVAIDAqxzV2g4VcU,0.638,0.455,0.586,0.0,0.131,-7.978,0.0492,183.694,0.481,77,238241</t>
  </si>
  <si>
    <t>29,Robin,THE TORTURED POETS DEPARTMENT: THE ANTHOLOGY,2024-04-19,30,2CnjDMdpRjlWv04Xk3s6MW,spotify:track:2CnjDMdpRjlWv04Xk3s6MW,0.791,0.476,0.386,0.000423,0.1,-10.601,0.03,138.265,0.158,73,240893</t>
  </si>
  <si>
    <t>30,The Manuscript,THE TORTURED POETS DEPARTMENT: THE ANTHOLOGY,2024-04-19,31,1DTRUYVd8rYpla9hhVVwjo,spotify:track:1DTRUYVd8rYpla9hhVVwjo,0.901,0.509,0.256,2.43e-06,0.103,-11.665,0.0306,94.184,0.436,74,224743</t>
  </si>
  <si>
    <t>31,Fortnight (feat. Post Malone),THE TORTURED POETS DEPARTMENT,2024-04-18,1,2OzhQlSqBEmt7hmkYxfT6m,spotify:track:2OzhQlSqBEmt7hmkYxfT6m,0.502,0.504,0.386,1.53e-05,0.0961,-10.976,0.0308,192.004,0.281,91,228965</t>
  </si>
  <si>
    <t>32,The Tortured Poets Department,THE TORTURED POETS DEPARTMENT,2024-04-18,2,3NMrVbIVWT3fPXBj0rNDKG,spotify:track:3NMrVbIVWT3fPXBj0rNDKG,0.0483,0.604,0.428,0.0,0.126,-8.441,0.0255,110.259,0.292,75,293048</t>
  </si>
  <si>
    <t>33,My Boy Only Breaks His Favorite Toys,THE TORTURED POETS DEPARTMENT,2024-04-18,3,2XXwLdtuAcE0HSCu61ijAb,spotify:track:2XXwLdtuAcE0HSCu61ijAb,0.137,0.596,0.563,0.0,0.302,-7.362,0.0269,97.073,0.481,77,203801</t>
  </si>
  <si>
    <t>34,Down Bad,THE TORTURED POETS DEPARTMENT,2024-04-18,4,2F3N9tdombb64aW6VtZOdo,spotify:track:2F3N9tdombb64aW6VtZOdo,0.56,0.541,0.366,1e-06,0.0946,-10.412,0.0748,159.707,0.168,82,261228</t>
  </si>
  <si>
    <t>35,"So Long, London",THE TORTURED POETS DEPARTMENT,2024-04-18,5,3Vevii7qKqrmW8CcyzBHDl,spotify:track:3Vevii7qKqrmW8CcyzBHDl,0.73,0.423,0.533,0.00264,0.0816,-11.388,0.322,160.218,0.248,78,262974</t>
  </si>
  <si>
    <t>36,But Daddy I Love Him,THE TORTURED POETS DEPARTMENT,2024-04-18,6,5og4Qzt92jJzVDkOtSEilb,spotify:track:5og4Qzt92jJzVDkOtSEilb,0.384,0.521,0.72,0.0,0.135,-7.684,0.104,79.943,0.438,78,340428</t>
  </si>
  <si>
    <t>37,Fresh Out The Slammer,THE TORTURED POETS DEPARTMENT,2024-04-18,7,3fO566xJgwxIa3qGCGBvIC,spotify:track:3fO566xJgwxIa3qGCGBvIC,0.624,0.33,0.483,0.0,0.111,-9.394,0.0399,87.115,0.34,69,210789</t>
  </si>
  <si>
    <t>38,Florida!!! (feat. Florence + The Machine),THE TORTURED POETS DEPARTMENT,2024-04-18,8,3ZVFcD8Wlw9T9klGqmJf9F,spotify:track:3ZVFcD8Wlw9T9klGqmJf9F,0.178,0.533,0.573,0.0,0.309,-7.123,0.138,150.088,0.398,76,215463</t>
  </si>
  <si>
    <t>39,Guilty as Sin?,THE TORTURED POETS DEPARTMENT,2024-04-18,9,0W0iAC1VGlB82PI6elxFYf,spotify:track:0W0iAC1VGlB82PI6elxFYf,0.607,0.626,0.428,0.0,0.0921,-8.374,0.0261,94.95,0.487,82,254365</t>
  </si>
  <si>
    <t>40,Who’s Afraid of Little Old Me?,THE TORTURED POETS DEPARTMENT,2024-04-18,10,36t6frENUtCYKuZus6aYDO,spotify:track:36t6frENUtCYKuZus6aYDO,0.315,0.606,0.338,0.0,0.106,-10.555,0.048,119.88,0.238,80,334084</t>
  </si>
  <si>
    <t>41,I Can Fix Him (No Really I Can),THE TORTURED POETS DEPARTMENT,2024-04-18,11,2h3MDMf8sd9s4XIzpTBIjX,spotify:track:2h3MDMf8sd9s4XIzpTBIjX,0.768,0.661,0.257,1.72e-06,0.176,-13.961,0.045,106.896,0.318,67,156297</t>
  </si>
  <si>
    <t>42,loml,THE TORTURED POETS DEPARTMENT,2024-04-18,12,6RSG1dKPV5gEvILwJb4QtS,spotify:track:6RSG1dKPV5gEvILwJb4QtS,0.858,0.423,0.272,0.0,0.108,-12.56,0.0489,78.539,0.195,75,277156</t>
  </si>
  <si>
    <t>43,I Can Do It With a Broken Heart,THE TORTURED POETS DEPARTMENT,2024-04-18,13,4q5YezDOIPcoLr8R81x9qy,spotify:track:4q5YezDOIPcoLr8R81x9qy,0.123,0.701,0.751,0.0,0.15,-8.39,0.0502,129.994,0.22,88,218004</t>
  </si>
  <si>
    <t>44,The Smallest Man Who Ever Lived,THE TORTURED POETS DEPARTMENT,2024-04-18,14,2v1ivOOsgn64g5OywuH55L,spotify:track:2v1ivOOsgn64g5OywuH55L,0.52,0.426,0.41,0.0,0.338,-9.083,0.0581,142.377,0.263,74,245541</t>
  </si>
  <si>
    <t>45,The Alchemy,THE TORTURED POETS DEPARTMENT,2024-04-18,15,1dhMTsEZz6ZEquGvmzVoHn,spotify:track:1dhMTsEZz6ZEquGvmzVoHn,0.422,0.64,0.421,0.0,0.103,-8.802,0.0273,100.056,0.353,73,196900</t>
  </si>
  <si>
    <t>46,Clara Bow,THE TORTURED POETS DEPARTMENT,2024-04-18,16,1UlhrRvYzbHEyugEDspXUB,spotify:track:1UlhrRvYzbHEyugEDspXUB,0.636,0.686,0.318,0.00144,0.106,-11.046,0.0263,104.088,0.214,67,216662</t>
  </si>
  <si>
    <t>47,Welcome To New York (Taylor's Version),1989 (Taylor's Version) [Deluxe],2023-10-27,1,4WUepByoeqcedHoYhSNHRt,spotify:track:4WUepByoeqcedHoYhSNHRt,0.00661,0.76,0.602,0.000133,0.325,-4.871,0.0316,116.989,0.685,62,212600</t>
  </si>
  <si>
    <t>48,Blank Space (Taylor's Version),1989 (Taylor's Version) [Deluxe],2023-10-27,2,0108kcWLnn2HlH2kedi1gn,spotify:track:0108kcWLnn2HlH2kedi1gn,0.0901,0.732,0.719,0.0,0.331,-5.469,0.0645,96.035,0.71,64,231833</t>
  </si>
  <si>
    <t>49,Style (Taylor's Version),1989 (Taylor's Version) [Deluxe],2023-10-27,3,3Vpk1hfMAQme8VJ0SNRSkd,spotify:track:3Vpk1hfMAQme8VJ0SNRSkd,0.000456,0.514,0.821,0.0232,0.0946,-4.803,0.0444,94.884,0.298,65,231000</t>
  </si>
  <si>
    <t>50,Out Of The Woods (Taylor's Version),1989 (Taylor's Version) [Deluxe],2023-10-27,4,1OcSfkeCg9hRC2sFKB4IMJ,spotify:track:1OcSfkeCg9hRC2sFKB4IMJ,0.000466,0.544,0.884,0.000134,0.381,-5.973,0.0383,91.981,0.184,63,235800</t>
  </si>
  <si>
    <t>51,All You Had To Do Was Stay (Taylor's Version),1989 (Taylor's Version) [Deluxe],2023-10-27,5,2k0ZEeAqzvYMcx9Qt5aClQ,spotify:track:2k0ZEeAqzvYMcx9Qt5aClQ,0.000778,0.589,0.713,0.0,0.188,-5.614,0.0308,97.069,0.54,62,193289</t>
  </si>
  <si>
    <t>52,Shake It Off (Taylor's Version),1989 (Taylor's Version) [Deluxe],2023-10-27,6,50yNTF0Od55qnHLxYsA5Pw,spotify:track:50yNTF0Od55qnHLxYsA5Pw,0.0112,0.632,0.805,2.51e-05,0.156,-5.707,0.069,160.052,0.903,62,219209</t>
  </si>
  <si>
    <t>53,I Wish You Would (Taylor's Version),1989 (Taylor's Version) [Deluxe],2023-10-27,7,3FxJDucHWdw6caWTKO5b23,spotify:track:3FxJDucHWdw6caWTKO5b23,0.00388,0.671,0.853,9.48e-06,0.0812,-6.568,0.0417,118.032,0.523,61,207650</t>
  </si>
  <si>
    <t>54,Bad Blood (Taylor's Version),1989 (Taylor's Version) [Deluxe],2023-10-27,8,7oZONwFiFIErZcXAtTu7FY,spotify:track:7oZONwFiFIErZcXAtTu7FY,0.0369,0.624,0.711,3.13e-06,0.19,-6.347,0.159,169.999,0.347,61,211103</t>
  </si>
  <si>
    <t>55,Wildest Dreams (Taylor's Version),1989 (Taylor's Version) [Deluxe],2023-10-27,9,27exgla7YBw9DUNNcTIpjy,spotify:track:27exgla7YBw9DUNNcTIpjy,0.0348,0.587,0.663,9.95e-05,0.0971,-7.439,0.0598,139.993,0.539,63,220433</t>
  </si>
  <si>
    <t>56,How You Get The Girl (Taylor's Version),1989 (Taylor's Version) [Deluxe],2023-10-27,10,733OhaXQIHY7BKtY3vnSkn,spotify:track:733OhaXQIHY7BKtY3vnSkn,0.00198,0.761,0.67,1.08e-05,0.0873,-5.956,0.0537,120.014,0.519,61,247533</t>
  </si>
  <si>
    <t>57,This Love (Taylor’s Version),1989 (Taylor's Version) [Deluxe],2023-10-27,11,4WBEj8TeGtRPNJdOmT3WJW,spotify:track:4WBEj8TeGtRPNJdOmT3WJW,0.302,0.47,0.494,0.0,0.0672,-8.672,0.0349,144.039,0.0524,60,250100</t>
  </si>
  <si>
    <t>58,I Know Places (Taylor's Version),1989 (Taylor's Version) [Deluxe],2023-10-27,12,1ULabO0PEsdJekqVH6G10G,spotify:track:1ULabO0PEsdJekqVH6G10G,0.0846,0.572,0.807,0.0,0.071,-5.348,0.0574,160.015,0.626,61,195700</t>
  </si>
  <si>
    <t>59,Clean (Taylor's Version),1989 (Taylor's Version) [Deluxe],2023-10-27,13,0lKUBmEyQfzsQHozyeXzES,spotify:track:0lKUBmEyQfzsQHozyeXzES,0.297,0.782,0.379,2.98e-05,0.103,-8.964,0.0303,103.99,0.267,62,271000</t>
  </si>
  <si>
    <t>60,Wonderland (Taylor's Version),1989 (Taylor's Version) [Deluxe],2023-10-27,14,6HRsJu8vcnzYDN4t0570FY,spotify:track:6HRsJu8vcnzYDN4t0570FY,0.0105,0.387,0.703,1.1e-05,0.128,-5.956,0.0545,123.18,0.32,61,245566</t>
  </si>
  <si>
    <t>61,You Are In Love (Taylor's Version),1989 (Taylor's Version) [Deluxe],2023-10-27,15,0TyGh27YQ5LknmiDhCzJiT,spotify:track:0TyGh27YQ5LknmiDhCzJiT,0.572,0.554,0.509,2.08e-06,0.113,-9.403,0.0455,85.079,0.401,62,267389</t>
  </si>
  <si>
    <t>62,New Romantics (Taylor's Version),1989 (Taylor's Version) [Deluxe],2023-10-27,16,5M787RexsAiVYjQusM98CV,spotify:track:5M787RexsAiVYjQusM98CV,0.00516,0.653,0.848,4.24e-06,0.0798,-5.936,0.0583,122.017,0.724,63,230177</t>
  </si>
  <si>
    <t>63,"""Slut!"" (Taylor's Version) (From The Vault)",1989 (Taylor's Version) [Deluxe],2023-10-27,17,0CD7DzeCsuPJygddqlUVYa,spotify:track:0CD7DzeCsuPJygddqlUVYa,0.33,0.621,0.415,0.000112,0.0634,-13.187,0.0543,77.978,0.313,64,180381</t>
  </si>
  <si>
    <t>64,Say Don't Go (Taylor's Version) (From The Vault),1989 (Taylor's Version) [Deluxe],2023-10-27,18,3CCRVu4F91Qp2mnGjmWBrf,spotify:track:3CCRVu4F91Qp2mnGjmWBrf,0.0684,0.632,0.539,5.82e-06,0.132,-8.375,0.0342,109.962,0.186,63,279833</t>
  </si>
  <si>
    <t>65,Now That We Don't Talk (Taylor's Version) (From The Vault),1989 (Taylor's Version) [Deluxe],2023-10-27,19,5QUIK7ZtziW8kGWo8RqopF,spotify:track:5QUIK7ZtziW8kGWo8RqopF,0.16,0.8,0.509,3.05e-05,0.0834,-9.386,0.034,109.994,0.0768,65,146436</t>
  </si>
  <si>
    <t>66,Suburban Legends (Taylor's Version) (From The Vault),1989 (Taylor's Version) [Deluxe],2023-10-27,20,6M9ppdfFjR1AbpUl3Y8DcV,spotify:track:6M9ppdfFjR1AbpUl3Y8DcV,0.212,0.695,0.607,0.0,0.102,-8.84,0.0357,118.043,0.394,61,171818</t>
  </si>
  <si>
    <t>67,Is It Over Now? (Taylor's Version) (From The Vault),1989 (Taylor's Version) [Deluxe],2023-10-27,21,6IG3sQ8s9nfk6TUlVzRhbN,spotify:track:6IG3sQ8s9nfk6TUlVzRhbN,0.0486,0.599,0.651,0.0,0.126,-7.343,0.035,100.001,0.153,66,229477</t>
  </si>
  <si>
    <t>68,Bad Blood (feat. Kendrick Lamar) (Taylor's Version),1989 (Taylor's Version) [Deluxe],2023-10-27,22,6qAcApH8obo8eqatCKUHd9,spotify:track:6qAcApH8obo8eqatCKUHd9,0.0143,0.604,0.644,0.0,0.237,-6.931,0.0889,170.088,0.197,74,199773</t>
  </si>
  <si>
    <t>69,Welcome To New York (Taylor's Version),1989 (Taylor's Version),2023-10-26,1,1hR8BSuEqPCCZfv93zzzz9,spotify:track:1hR8BSuEqPCCZfv93zzzz9,0.00661,0.76,0.602,0.000133,0.325,-4.871,0.0316,116.989,0.685,71,212600</t>
  </si>
  <si>
    <t>70,Blank Space (Taylor's Version),1989 (Taylor's Version),2023-10-26,2,45wMBGri1PORPjM9PwFfrS,spotify:track:45wMBGri1PORPjM9PwFfrS,0.0901,0.732,0.719,0.0,0.331,-5.469,0.0645,96.035,0.71,80,231833</t>
  </si>
  <si>
    <t>71,Style (Taylor's Version),1989 (Taylor's Version),2023-10-26,3,1hjRhYpWyqDpPahmSlUTlc,spotify:track:1hjRhYpWyqDpPahmSlUTlc,0.000456,0.514,0.821,0.0232,0.0946,-4.803,0.0444,94.884,0.298,79,231000</t>
  </si>
  <si>
    <t>72,Out Of The Woods (Taylor's Version),1989 (Taylor's Version),2023-10-26,4,045ZeOHPIzhxxsm8bq5kyE,spotify:track:045ZeOHPIzhxxsm8bq5kyE,0.000466,0.544,0.884,0.000134,0.381,-5.973,0.0383,91.981,0.184,73,235800</t>
  </si>
  <si>
    <t>73,All You Had To Do Was Stay (Taylor's Version),1989 (Taylor's Version),2023-10-26,5,6GXgd1BPD9bUpqw5AntGV5,spotify:track:6GXgd1BPD9bUpqw5AntGV5,0.000778,0.589,0.713,0.0,0.188,-5.614,0.0308,97.069,0.54,69,193289</t>
  </si>
  <si>
    <t>74,Shake It Off (Taylor's Version),1989 (Taylor's Version),2023-10-26,6,3pv7Q5v2dpdefwdWIvE7yH,spotify:track:3pv7Q5v2dpdefwdWIvE7yH,0.0112,0.632,0.805,2.51e-05,0.156,-5.707,0.069,160.052,0.903,75,219209</t>
  </si>
  <si>
    <t>75,I Wish You Would (Taylor's Version),1989 (Taylor's Version),2023-10-26,7,43y1WpBdnEy5TR9aZoSQL9,spotify:track:43y1WpBdnEy5TR9aZoSQL9,0.00388,0.671,0.853,9.48e-06,0.0812,-6.568,0.0417,118.032,0.523,68,207650</t>
  </si>
  <si>
    <t>76,Bad Blood (Taylor's Version),1989 (Taylor's Version),2023-10-26,8,64FzgoLZ3oXu2SriZblHic,spotify:track:64FzgoLZ3oXu2SriZblHic,0.0369,0.624,0.711,3.13e-06,0.19,-6.347,0.159,169.999,0.347,71,211103</t>
  </si>
  <si>
    <t>77,Wildest Dreams (Taylor's Version),1989 (Taylor's Version),2023-10-26,9,1K39ty6o1sHwwlZwO6a7wK,spotify:track:1K39ty6o1sHwwlZwO6a7wK,0.0348,0.587,0.663,9.95e-05,0.0971,-7.439,0.0598,139.993,0.539,77,220433</t>
  </si>
  <si>
    <t>78,How You Get The Girl (Taylor's Version),1989 (Taylor's Version),2023-10-26,10,75W3SngKzTuoQ94uLf3y82,spotify:track:75W3SngKzTuoQ94uLf3y82,0.00198,0.761,0.67,1.08e-05,0.0873,-5.956,0.0537,120.014,0.519,67,247533</t>
  </si>
  <si>
    <t>79,This Love (Taylor’s Version),1989 (Taylor's Version),2023-10-26,11,5QVVjX0ZItqlVpEuVCM9Yg,spotify:track:5QVVjX0ZItqlVpEuVCM9Yg,0.302,0.47,0.494,0.0,0.0672,-8.672,0.0349,144.039,0.0524,67,250100</t>
  </si>
  <si>
    <t>80,I Know Places (Taylor's Version),1989 (Taylor's Version),2023-10-26,12,2f0GI2ZLUtbGqFx8t2Gk6A,spotify:track:2f0GI2ZLUtbGqFx8t2Gk6A,0.0846,0.572,0.807,0.0,0.071,-5.348,0.0574,160.015,0.626,66,195700</t>
  </si>
  <si>
    <t>81,Clean (Taylor's Version),1989 (Taylor's Version),2023-10-26,13,2ByBBvpR9b7IynvRmnG7kG,spotify:track:2ByBBvpR9b7IynvRmnG7kG,0.297,0.782,0.379,2.98e-05,0.103,-8.964,0.0303,103.99,0.267,70,271000</t>
  </si>
  <si>
    <t>82,Wonderland (Taylor's Version),1989 (Taylor's Version),2023-10-26,14,2ve0kuaWUCt4Zx8x4bf1MR,spotify:track:2ve0kuaWUCt4Zx8x4bf1MR,0.0105,0.387,0.703,1.1e-05,0.128,-5.956,0.0545,123.18,0.32,67,245566</t>
  </si>
  <si>
    <t>83,You Are In Love (Taylor's Version),1989 (Taylor's Version),2023-10-26,15,4UwqOWDpdeIDVQDuKT6iza,spotify:track:4UwqOWDpdeIDVQDuKT6iza,0.572,0.554,0.509,2.08e-06,0.113,-9.403,0.0455,85.079,0.401,69,267389</t>
  </si>
  <si>
    <t>84,New Romantics (Taylor's Version),1989 (Taylor's Version),2023-10-26,16,2vPMoMDXxu9uX1igWZmXSG,spotify:track:2vPMoMDXxu9uX1igWZmXSG,0.00516,0.653,0.848,4.24e-06,0.0798,-5.936,0.0583,122.017,0.724,74,230177</t>
  </si>
  <si>
    <t>85,"""Slut!"" (Taylor's Version) (From The Vault)",1989 (Taylor's Version),2023-10-26,17,71BqAINEnezjQfxE4VuJfq,spotify:track:71BqAINEnezjQfxE4VuJfq,0.33,0.621,0.415,0.000112,0.0634,-13.187,0.0543,77.978,0.313,77,180381</t>
  </si>
  <si>
    <t>86,Say Don't Go (Taylor's Version) (From The Vault),1989 (Taylor's Version),2023-10-26,18,4NioO5R9sHEZh4cGzMHyNt,spotify:track:4NioO5R9sHEZh4cGzMHyNt,0.0684,0.632,0.539,5.82e-06,0.132,-8.375,0.0342,109.962,0.186,73,279833</t>
  </si>
  <si>
    <t>87,Now That We Don't Talk (Taylor's Version) (From The Vault),1989 (Taylor's Version),2023-10-26,19,5KD6AEm19QnMbfWpfoOHMl,spotify:track:5KD6AEm19QnMbfWpfoOHMl,0.16,0.8,0.509,3.05e-05,0.0834,-9.386,0.034,109.994,0.0768,77,146436</t>
  </si>
  <si>
    <t>88,Suburban Legends (Taylor's Version) (From The Vault),1989 (Taylor's Version),2023-10-26,20,6T0sEnqjmHISIKwFETeeiP,spotify:track:6T0sEnqjmHISIKwFETeeiP,0.212,0.695,0.607,0.0,0.102,-8.84,0.0357,118.043,0.394,68,171818</t>
  </si>
  <si>
    <t>89,Is It Over Now? (Taylor's Version) (From The Vault),1989 (Taylor's Version),2023-10-26,21,1Iq8oo9XkmmvCQiGOfORiz,spotify:track:1Iq8oo9XkmmvCQiGOfORiz,0.0486,0.599,0.651,0.0,0.126,-7.343,0.035,100.001,0.153,78,229477</t>
  </si>
  <si>
    <t>90,Mine (Taylor's Version),Speak Now (Taylor's Version),2023-07-07,1,7G0gBu6nLdhFDPRLc0HdDG,spotify:track:7G0gBu6nLdhFDPRLc0HdDG,0.00314,0.647,0.793,1.93e-06,0.174,-2.903,0.0363,121.101,0.5,74,231706</t>
  </si>
  <si>
    <t>91,Sparks Fly (Taylor’s Version),Speak Now (Taylor's Version),2023-07-07,2,3MytWN8L7shNYzGl4tAKRp,spotify:track:3MytWN8L7shNYzGl4tAKRp,0.0241,0.605,0.769,0.0,0.0936,-2.413,0.032,114.921,0.366,72,261230</t>
  </si>
  <si>
    <t>92,Back To December (Taylor's Version),Speak Now (Taylor's Version),2023-07-07,3,79uDOz0zuuWS7HWxzMmTa2,spotify:track:79uDOz0zuuWS7HWxzMmTa2,0.00705,0.486,0.635,0.0,0.119,-3.994,0.0278,141.868,0.235,74,294189</t>
  </si>
  <si>
    <t>93,Speak Now (Taylor's Version),Speak Now (Taylor's Version),2023-07-07,4,5xXqyjLicvEpch72qEryFT,spotify:track:5xXqyjLicvEpch72qEryFT,0.225,0.734,0.686,0.0,0.136,-2.926,0.0349,119.002,0.598,69,242473</t>
  </si>
  <si>
    <t>94,Dear John (Taylor's Version),Speak Now (Taylor's Version),2023-07-07,5,1zU8j1x3yi9xalMF96pzKp,spotify:track:1zU8j1x3yi9xalMF96pzKp,0.0327,0.379,0.468,0.0,0.158,-5.07,0.0298,119.447,0.115,69,405906</t>
  </si>
  <si>
    <t>95,Mean (Taylor's Version),Speak Now (Taylor's Version),2023-07-07,6,30Y4CV7A6YqtQtTTo7Ue4j,spotify:track:30Y4CV7A6YqtQtTTo7Ue4j,0.321,0.526,0.7,0.0,0.213,-3.95,0.0392,163.949,0.596,69,238693</t>
  </si>
  <si>
    <t>96,The Story Of Us (Taylor's Version),Speak Now (Taylor's Version),2023-07-07,7,6dTA6y0C2ReQklntzZl8l3,spotify:track:6dTA6y0C2ReQklntzZl8l3,0.00136,0.516,0.784,0.0,0.0499,-2.636,0.0563,139.787,0.552,70,267653</t>
  </si>
  <si>
    <t>97,Never Grow Up (Taylor's Version),Speak Now (Taylor's Version),2023-07-07,8,2EFZ9emtKWEglWUQGEQ3P9,spotify:track:2EFZ9emtKWEglWUQGEQ3P9,0.867,0.684,0.339,0.0,0.194,-7.259,0.029,125.054,0.572,65,292920</t>
  </si>
  <si>
    <t>98,Enchanted (Taylor's Version),Speak Now (Taylor's Version),2023-07-07,9,3sW3oSbzsfecv9XoUdGs7h,spotify:track:3sW3oSbzsfecv9XoUdGs7h,0.016,0.52,0.553,0.0,0.165,-3.546,0.0269,81.949,0.227,80,353253</t>
  </si>
  <si>
    <t>99,Better Than Revenge (Taylor's Version),Speak Now (Taylor's Version),2023-07-07,10,0NwGC0v03ysCYINtg6ns58,spotify:track:0NwGC0v03ysCYINtg6ns58,0.000795,0.505,0.893,0.0,0.178,-3.013,0.0771,145.913,0.659,71,220306</t>
  </si>
  <si>
    <t>100,Innocent (Taylor's Version),Speak Now (Taylor's Version),2023-07-07,11,12nBPF4Rh4XLFJV0YLN7uj,spotify:track:12nBPF4Rh4XLFJV0YLN7uj,0.0972,0.524,0.611,0.0,0.127,-5.298,0.0297,133.583,0.126,63,301221</t>
  </si>
  <si>
    <t>101,Haunted (Taylor's Version),Speak Now (Taylor's Version),2023-07-07,12,4tMzIAFTFdqGBQLdfbPces,spotify:track:4tMzIAFTFdqGBQLdfbPces,0.00552,0.44,0.916,0.0,0.252,-1.927,0.0629,162.025,0.371,69,245413</t>
  </si>
  <si>
    <t>102,Last Kiss (Taylor's Version),Speak Now (Taylor's Version),2023-07-07,13,59KOoHFcw5XfICnO57holu,spotify:track:59KOoHFcw5XfICnO57holu,0.443,0.557,0.362,3.57e-06,0.1,-8.641,0.0263,79.573,0.187,69,369120</t>
  </si>
  <si>
    <t>103,Long Live (Taylor's Version),Speak Now (Taylor's Version),2023-07-07,14,4hqJ4bSlYJOXb6Z4SRmzxs,spotify:track:4hqJ4bSlYJOXb6Z4SRmzxs,0.0162,0.38,0.628,0.0,0.227,-4.054,0.038,203.826,0.0984,73,317960</t>
  </si>
  <si>
    <t>104,Ours (Taylor’s Version),Speak Now (Taylor's Version),2023-07-07,15,3yNJkriPzWjkkDAWHIAVUq,spotify:track:3yNJkriPzWjkkDAWHIAVUq,0.42,0.539,0.475,0.0,0.109,-8.411,0.0287,159.824,0.293,66,235803</t>
  </si>
  <si>
    <t>105,Superman (Taylor’s Version),Speak Now (Taylor's Version),2023-07-07,16,4evLyY5Ue1Wesc61t2KXAU,spotify:track:4evLyY5Ue1Wesc61t2KXAU,0.00207,0.537,0.733,0.0,0.11,-3.506,0.0302,131.898,0.347,62,274945</t>
  </si>
  <si>
    <t>106,Electric Touch (feat. Fall Out Boy) (Taylor’s Version) (From The Vault),Speak Now (Taylor's Version),2023-07-07,17,4e3ZNTAV6PCrdYMUrUlMpQ,spotify:track:4e3ZNTAV6PCrdYMUrUlMpQ,0.018,0.547,0.854,0.0,0.156,-4.753,0.0526,131.068,0.26,68,266466</t>
  </si>
  <si>
    <t>107,When Emma Falls in Love (Taylor’s Version) (From The Vault),Speak Now (Taylor's Version),2023-07-07,18,0zo975x58DlXbZllWvfYhg,spotify:track:0zo975x58DlXbZllWvfYhg,0.168,0.524,0.759,0.0,0.104,-4.714,0.0471,77.879,0.234,66,252385</t>
  </si>
  <si>
    <t>108,I Can See You (Taylor’s Version) (From The Vault),Speak Now (Taylor's Version),2023-07-07,19,5kHMfzgLZP95O9NBy0ku4v,spotify:track:5kHMfzgLZP95O9NBy0ku4v,0.0577,0.695,0.768,0.0,0.0426,-4.883,0.0344,123.054,0.813,75,273186</t>
  </si>
  <si>
    <t>109,Castles Crumbling (feat. Hayley Williams) (Taylor’s Version) (From The Vault),Speak Now (Taylor's Version),2023-07-07,20,4ABYxlb92WBIjHu7TIKmml,spotify:track:4ABYxlb92WBIjHu7TIKmml,0.342,0.578,0.565,0.0,0.0662,-8.064,0.0441,147.781,0.351,67,306062</t>
  </si>
  <si>
    <t>110,Foolish One (Taylor’s Version) (From The Vault),Speak Now (Taylor's Version),2023-07-07,21,4s8BIKx4Zh6ryAEz8RTlaU,spotify:track:4s8BIKx4Zh6ryAEz8RTlaU,0.599,0.672,0.613,0.0,0.112,-4.709,0.0298,97.041,0.557,68,311765</t>
  </si>
  <si>
    <t>111,Timeless (Taylor’s Version) (From The Vault),Speak Now (Taylor's Version),2023-07-07,22,1HCdems7PQZRj42QDWLA0A,spotify:track:1HCdems7PQZRj42QDWLA0A,0.332,0.629,0.578,0.0,0.0868,-5.806,0.0319,142.887,0.651,69,321396</t>
  </si>
  <si>
    <t>112,Lavender Haze,Midnights (The Til Dawn Edition),2023-05-26,1,24emu3sabKISjRkrys28jq,spotify:track:24emu3sabKISjRkrys28jq,0.23,0.735,0.449,0.00126,0.132,-10.56,0.0883,97.05,0.0955,63,202395</t>
  </si>
  <si>
    <t>113,Maroon,Midnights (The Til Dawn Edition),2023-05-26,2,6qxvy9Pe4RJIq5JBVbbwbS,spotify:track:6qxvy9Pe4RJIq5JBVbbwbS,0.0634,0.655,0.384,1.45e-06,0.0973,-8.29,0.0349,108.058,0.0384,64,218270</t>
  </si>
  <si>
    <t>114,Anti-Hero,Midnights (The Til Dawn Edition),2023-05-26,3,5qIHFdkW6phMsTZlN2g8Lc,spotify:track:5qIHFdkW6phMsTZlN2g8Lc,0.121,0.633,0.648,2.62e-06,0.161,-6.645,0.062,96.888,0.49,63,200690</t>
  </si>
  <si>
    <t>115,Snow On The Beach (feat. Lana Del Rey),Midnights (The Til Dawn Edition),2023-05-26,4,7GA86Uo2jYbj8vIXe2nyWd,spotify:track:7GA86Uo2jYbj8vIXe2nyWd,0.701,0.663,0.321,0.000598,0.107,-13.527,0.0409,110.021,0.153,60,256124</t>
  </si>
  <si>
    <t>116,"You're On Your Own, Kid",Midnights (The Til Dawn Edition),2023-05-26,5,6PQOU00xWNrGwCZzboriXy,spotify:track:6PQOU00xWNrGwCZzboriXy,0.447,0.696,0.39,1.55e-05,0.125,-10.331,0.0616,120.032,0.395,64,194206</t>
  </si>
  <si>
    <t>117,Midnight Rain,Midnights (The Til Dawn Edition),2023-05-26,6,4eKMqf9ZMSclDX7V9Ptg7x,spotify:track:4eKMqf9ZMSclDX7V9Ptg7x,0.71,0.604,0.375,5.87e-05,0.116,-11.637,0.0633,137.651,0.203,63,174782</t>
  </si>
  <si>
    <t>118,Question...?,Midnights (The Til Dawn Edition),2023-05-26,7,7oomkQSYf1ia2VnVEWfFIU,spotify:track:7oomkQSYf1ia2VnVEWfFIU,0.206,0.654,0.51,0.0,0.249,-8.767,0.242,108.874,0.105,61,210556</t>
  </si>
  <si>
    <t>119,Vigilante Shit,Midnights (The Til Dawn Edition),2023-05-26,8,0GKDhq6ZbmSbRHd3eyGlB7,spotify:track:0GKDhq6ZbmSbRHd3eyGlB7,0.166,0.872,0.267,2.18e-05,0.123,-10.764,0.387,79.964,0.168,62,164801</t>
  </si>
  <si>
    <t>120,Bejeweled,Midnights (The Til Dawn Edition),2023-05-26,9,0VpF6RLdCfPIeYRwMu4tZK,spotify:track:0VpF6RLdCfPIeYRwMu4tZK,0.0593,0.687,0.551,0.000143,0.09,-9.202,0.0787,163.994,0.443,63,194165</t>
  </si>
  <si>
    <t>121,Labyrinth,Midnights (The Til Dawn Edition),2023-05-26,10,4bBDkw2KBMX0tcgAaXC83Q,spotify:track:4bBDkw2KBMX0tcgAaXC83Q,0.797,0.48,0.295,0.333,0.12,-15.512,0.0384,110.018,0.132,61,247962</t>
  </si>
  <si>
    <t>122,Karma,Midnights (The Til Dawn Edition),2023-05-26,11,45R112Jz5hQeKgITXgSXzs,spotify:track:45R112Jz5hQeKgITXgSXzs,0.062,0.64,0.619,0.0,0.475,-7.108,0.065,90.008,0.121,62,204852</t>
  </si>
  <si>
    <t>123,Sweet Nothing,Midnights (The Til Dawn Edition),2023-05-26,12,2L09RYwH5Pjzca6PmbUAw3,spotify:track:2L09RYwH5Pjzca6PmbUAw3,0.968,0.336,0.161,0.00011,0.115,-14.973,0.0456,176.48,0.407,60,188496</t>
  </si>
  <si>
    <t>124,Mastermind,Midnights (The Til Dawn Edition),2023-05-26,13,1QQii3pa5m8MEda0nbkjfw,spotify:track:1QQii3pa5m8MEda0nbkjfw,0.565,0.66,0.343,0.00134,0.0922,-14.132,0.14,125.96,0.137,61,191039</t>
  </si>
  <si>
    <t>125,The Great War,Midnights (The Til Dawn Edition),2023-05-26,14,2VuqMjgoKaOHNM8HpxtXKx,spotify:track:2VuqMjgoKaOHNM8HpxtXKx,0.199,0.57,0.747,2.32e-05,0.0854,-8.93,0.0342,96.016,0.574,62,240355</t>
  </si>
  <si>
    <t>126,Bigger Than The Whole Sky,Midnights (The Til Dawn Edition),2023-05-26,15,71CBDRKmF2VeRKYMG1DFBh,spotify:track:71CBDRKmF2VeRKYMG1DFBh,0.841,0.42,0.22,0.00131,0.114,-12.584,0.0472,165.564,0.0705,60,218502</t>
  </si>
  <si>
    <t>127,Paris,Midnights (The Til Dawn Edition),2023-05-26,16,5tWxKWq1DSP1s9WQ5PWuqu,spotify:track:5tWxKWq1DSP1s9WQ5PWuqu,0.103,0.703,0.518,2.89e-05,0.148,-10.501,0.085,110.94,0.347,60,196258</t>
  </si>
  <si>
    <t>128,High Infidelity,Midnights (The Til Dawn Edition),2023-05-26,17,1SztNGCwEHJEVFx90E5g7D,spotify:track:1SztNGCwEHJEVFx90E5g7D,0.704,0.571,0.547,0.0,0.0877,-10.141,0.101,175.933,0.768,59,231475</t>
  </si>
  <si>
    <t>129,Glitch,Midnights (The Til Dawn Edition),2023-05-26,18,7C0w28EsX0Um2FrZs9gso2,spotify:track:7C0w28EsX0Um2FrZs9gso2,0.314,0.677,0.47,0.0,0.11,-9.65,0.259,140.881,0.347,58,148781</t>
  </si>
  <si>
    <t>130,"Would've, Could've, Should've",Midnights (The Til Dawn Edition),2023-05-26,19,4txojlesMFQZGWxwz2EeqB,spotify:track:4txojlesMFQZGWxwz2EeqB,0.393,0.485,0.846,0.00115,0.124,-6.557,0.117,157.918,0.548,62,260361</t>
  </si>
  <si>
    <t>131,Dear Reader,Midnights (The Til Dawn Edition),2023-05-26,20,10GRRCR5fctuOF4GFmATJI,spotify:track:10GRRCR5fctuOF4GFmATJI,0.464,0.674,0.39,0.00122,0.116,-11.944,0.0483,107.891,0.151,59,225194</t>
  </si>
  <si>
    <t>132,Hits Different,Midnights (The Til Dawn Edition),2023-05-26,21,3xYJScVfxByb61dYHTwiby,spotify:track:3xYJScVfxByb61dYHTwiby,0.134,0.666,0.786,3.34e-06,0.265,-6.556,0.0439,106.02,0.261,72,234466</t>
  </si>
  <si>
    <t>133,Snow On The Beach (feat. More Lana Del Rey),Midnights (The Til Dawn Edition),2023-05-26,22,4zmKGsrXjLmljb5fTaBTot,spotify:track:4zmKGsrXjLmljb5fTaBTot,0.797,0.664,0.399,3.13e-06,0.105,-10.997,0.0349,109.937,0.265,73,229942</t>
  </si>
  <si>
    <t>134,Karma (feat. Ice Spice),Midnights (The Til Dawn Edition),2023-05-26,23,4i6cwNY6oIUU2XZxPIw82Y,spotify:track:4i6cwNY6oIUU2XZxPIw82Y,0.0574,0.615,0.626,0.0,0.596,-6.548,0.0778,89.984,0.0705,64,201493</t>
  </si>
  <si>
    <t>135,Lavender Haze,Midnights (3am Edition),2022-10-22,1,4g2c7NoTWAOSYDy44l9nub,spotify:track:4g2c7NoTWAOSYDy44l9nub,0.23,0.735,0.449,0.00126,0.132,-10.56,0.0883,97.05,0.0955,61,202395</t>
  </si>
  <si>
    <t>136,Maroon,Midnights (3am Edition),2022-10-22,2,199E1RRrVmVTQqBXih5qRC,spotify:track:199E1RRrVmVTQqBXih5qRC,0.0634,0.655,0.384,1.45e-06,0.0973,-8.29,0.0349,108.058,0.0384,61,218270</t>
  </si>
  <si>
    <t>137,Anti-Hero,Midnights (3am Edition),2022-10-22,3,02Zkkf2zMkwRGQjZ7T4p8f,spotify:track:02Zkkf2zMkwRGQjZ7T4p8f,0.121,0.633,0.648,2.62e-06,0.161,-6.645,0.062,96.888,0.49,62,200690</t>
  </si>
  <si>
    <t>138,Snow On The Beach (feat. Lana Del Rey),Midnights (3am Edition),2022-10-22,4,6ADDIJxxqzM9LMpm78yzQG,spotify:track:6ADDIJxxqzM9LMpm78yzQG,0.701,0.663,0.321,0.000598,0.107,-13.527,0.0409,110.021,0.153,62,256124</t>
  </si>
  <si>
    <t>139,"You're On Your Own, Kid",Midnights (3am Edition),2022-10-22,5,7gVWKBcfIW93YxNBi3ApIE,spotify:track:7gVWKBcfIW93YxNBi3ApIE,0.447,0.696,0.39,1.55e-05,0.125,-10.331,0.0616,120.032,0.395,62,194206</t>
  </si>
  <si>
    <t>140,Midnight Rain,Midnights (3am Edition),2022-10-22,6,6Nl7KyvjkFncGsjB49SxLl,spotify:track:6Nl7KyvjkFncGsjB49SxLl,0.71,0.604,0.375,5.87e-05,0.116,-11.637,0.0633,137.651,0.203,61,174782</t>
  </si>
  <si>
    <t>141,Question...?,Midnights (3am Edition),2022-10-22,7,6C7OF1Jal7YkyjzyUG8vkK,spotify:track:6C7OF1Jal7YkyjzyUG8vkK,0.206,0.654,0.51,0.0,0.249,-8.767,0.242,108.874,0.105,58,210556</t>
  </si>
  <si>
    <t>142,Vigilante Shit,Midnights (3am Edition),2022-10-22,8,5yeuXkukVGuix3vmLu2BPJ,spotify:track:5yeuXkukVGuix3vmLu2BPJ,0.166,0.872,0.267,2.18e-05,0.123,-10.764,0.387,79.964,0.168,61,164801</t>
  </si>
  <si>
    <t>143,Bejeweled,Midnights (3am Edition),2022-10-22,9,0jvo9CjnbR0lYUDTSNTMiu,spotify:track:0jvo9CjnbR0lYUDTSNTMiu,0.0593,0.687,0.551,0.000143,0.09,-9.202,0.0787,163.994,0.443,62,194165</t>
  </si>
  <si>
    <t>144,Labyrinth,Midnights (3am Edition),2022-10-22,10,43q586vP8gGkYypKoSddhl,spotify:track:43q586vP8gGkYypKoSddhl,0.797,0.48,0.295,0.333,0.12,-15.512,0.0384,110.018,0.132,58,247962</t>
  </si>
  <si>
    <t>145,Karma,Midnights (3am Edition),2022-10-22,11,5oqDgw5VGBln5dSIOPWyBq,spotify:track:5oqDgw5VGBln5dSIOPWyBq,0.062,0.64,0.619,0.0,0.475,-7.108,0.065,90.008,0.121,65,204852</t>
  </si>
  <si>
    <t>146,Sweet Nothing,Midnights (3am Edition),2022-10-22,12,3zmwONxswBAzGwExPugSLN,spotify:track:3zmwONxswBAzGwExPugSLN,0.968,0.336,0.161,0.00011,0.115,-14.973,0.0456,176.48,0.407,60,188496</t>
  </si>
  <si>
    <t>147,Mastermind,Midnights (3am Edition),2022-10-22,13,56hioFjQ0DXrdn04hZcFgG,spotify:track:56hioFjQ0DXrdn04hZcFgG,0.565,0.66,0.343,0.00134,0.0922,-14.132,0.14,125.96,0.137,64,191039</t>
  </si>
  <si>
    <t>148,The Great War,Midnights (3am Edition),2022-10-22,14,3UMrglJeju5yWyYIW6o99b,spotify:track:3UMrglJeju5yWyYIW6o99b,0.199,0.57,0.747,2.32e-05,0.0854,-8.93,0.0342,96.016,0.574,69,240355</t>
  </si>
  <si>
    <t>149,Bigger Than The Whole Sky,Midnights (3am Edition),2022-10-22,15,0BiqmkasE5FdrChwKfVp8X,spotify:track:0BiqmkasE5FdrChwKfVp8X,0.841,0.42,0.22,0.00131,0.114,-12.584,0.0472,165.564,0.0705,66,218502</t>
  </si>
  <si>
    <t>150,Paris,Midnights (3am Edition),2022-10-22,16,7712gjoih4QoDbXpljEk21,spotify:track:7712gjoih4QoDbXpljEk21,0.103,0.703,0.518,2.89e-05,0.148,-10.501,0.085,110.94,0.347,66,196258</t>
  </si>
  <si>
    <t>151,High Infidelity,Midnights (3am Edition),2022-10-22,17,5kiZGSxgqPdv6rbqL9THdd,spotify:track:5kiZGSxgqPdv6rbqL9THdd,0.704,0.571,0.547,0.0,0.0877,-10.141,0.101,175.933,0.768,64,231475</t>
  </si>
  <si>
    <t>152,Glitch,Midnights (3am Edition),2022-10-22,18,6wAFvJPpTZVirBKGZ4EnMW,spotify:track:6wAFvJPpTZVirBKGZ4EnMW,0.314,0.677,0.47,0.0,0.11,-9.65,0.259,140.881,0.347,63,148781</t>
  </si>
  <si>
    <t>153,"Would've, Could've, Should've",Midnights (3am Edition),2022-10-22,19,0aV5uARAknQgYhBaK944FP,spotify:track:0aV5uARAknQgYhBaK944FP,0.393,0.485,0.846,0.00115,0.124,-6.557,0.117,157.918,0.548,68,260361</t>
  </si>
  <si>
    <t>154,Dear Reader,Midnights (3am Edition),2022-10-22,20,3QF5RsWzK1lCvf2o2cY65P,spotify:track:3QF5RsWzK1lCvf2o2cY65P,0.464,0.674,0.39,0.00122,0.116,-11.944,0.0483,107.891,0.151,64,225194</t>
  </si>
  <si>
    <t>155,Lavender Haze,Midnights,2022-10-21,1,5jQI2r1RdgtuT8S3iG8zFC,spotify:track:5jQI2r1RdgtuT8S3iG8zFC,0.23,0.735,0.449,0.00126,0.132,-10.56,0.0883,97.05,0.0955,77,202395</t>
  </si>
  <si>
    <t>156,Maroon,Midnights,2022-10-21,2,3eX0NZfLtGzoLUxPNvRfqm,spotify:track:3eX0NZfLtGzoLUxPNvRfqm,0.0634,0.655,0.384,1.45e-06,0.0973,-8.29,0.0349,108.058,0.0384,72,218270</t>
  </si>
  <si>
    <t>157,Anti-Hero,Midnights,2022-10-21,3,0V3wPSX9ygBnCm8psDIegu,spotify:track:0V3wPSX9ygBnCm8psDIegu,0.121,0.633,0.648,2.62e-06,0.161,-6.645,0.062,96.888,0.49,85,200690</t>
  </si>
  <si>
    <t>158,Snow On The Beach (feat. Lana Del Rey),Midnights,2022-10-21,4,1wtOxkiel43cVs0Yux5Q4h,spotify:track:1wtOxkiel43cVs0Yux5Q4h,0.701,0.663,0.321,0.000598,0.107,-13.527,0.0409,110.021,0.153,69,256124</t>
  </si>
  <si>
    <t>159,"You're On Your Own, Kid",Midnights,2022-10-21,5,4D7BCuvgdJlYvlX5WlN54t,spotify:track:4D7BCuvgdJlYvlX5WlN54t,0.447,0.696,0.39,1.55e-05,0.125,-10.331,0.0616,120.032,0.395,77,194206</t>
  </si>
  <si>
    <t>160,Midnight Rain,Midnights,2022-10-21,6,3rWDp9tBPQR9z6U5YyRSK4,spotify:track:3rWDp9tBPQR9z6U5YyRSK4,0.71,0.604,0.375,5.87e-05,0.116,-11.637,0.0633,137.651,0.203,76,174782</t>
  </si>
  <si>
    <t>161,Question...?,Midnights,2022-10-21,7,0heeNYlwOGuUSe7TgUD27B,spotify:track:0heeNYlwOGuUSe7TgUD27B,0.206,0.654,0.51,0.0,0.249,-8.767,0.242,108.874,0.105,66,210556</t>
  </si>
  <si>
    <t>162,Vigilante Shit,Midnights,2022-10-21,8,1xwAWUI6Dj0WGC3KiUPN0O,spotify:track:1xwAWUI6Dj0WGC3KiUPN0O,0.166,0.872,0.267,2.18e-05,0.123,-10.764,0.387,79.964,0.168,74,164801</t>
  </si>
  <si>
    <t>163,Bejeweled,Midnights,2022-10-21,9,3qoftcUZaUOncvIYjFSPdE,spotify:track:3qoftcUZaUOncvIYjFSPdE,0.0593,0.687,0.551,0.000143,0.09,-9.202,0.0787,163.994,0.443,77,194165</t>
  </si>
  <si>
    <t>164,Labyrinth,Midnights,2022-10-21,10,0A1JLUlkZkp2EFrosoNQi0,spotify:track:0A1JLUlkZkp2EFrosoNQi0,0.797,0.48,0.295,0.333,0.12,-15.512,0.0384,110.018,0.132,70,247962</t>
  </si>
  <si>
    <t>165,Karma,Midnights,2022-10-21,11,7KokYm8cMIXCsGVmUvKtqf,spotify:track:7KokYm8cMIXCsGVmUvKtqf,0.062,0.64,0.619,0.0,0.475,-7.108,0.065,90.008,0.121,80,204852</t>
  </si>
  <si>
    <t>166,Sweet Nothing,Midnights,2022-10-21,12,0wavGRldH0AWyu2zvTz8zb,spotify:track:0wavGRldH0AWyu2zvTz8zb,0.968,0.336,0.161,0.00011,0.115,-14.973,0.0456,176.48,0.407,69,188496</t>
  </si>
  <si>
    <t>167,Mastermind,Midnights,2022-10-21,13,7FmYn9e7KHMXcxqGSj9LjH,spotify:track:7FmYn9e7KHMXcxqGSj9LjH,0.565,0.66,0.343,0.00134,0.0922,-14.132,0.14,125.96,0.137,72,191039</t>
  </si>
  <si>
    <t>168,State Of Grace (Taylor's Version),Red (Taylor's Version),2021-11-12,1,6lzc0Al0zfZOIFsFvBS1ki,spotify:track:6lzc0Al0zfZOIFsFvBS1ki,0.000328,0.594,0.713,0.0,0.114,-5.314,0.0503,129.958,0.328,65,295413</t>
  </si>
  <si>
    <t>169,Red (Taylor's Version),Red (Taylor's Version),2021-11-12,2,4OAuvHryIVv4kMDNSLuPt6,spotify:track:4OAuvHryIVv4kMDNSLuPt6,0.00108,0.516,0.777,1.62e-06,0.0761,-4.908,0.0375,125.047,0.408,73,223093</t>
  </si>
  <si>
    <t>170,Treacherous (Taylor's Version),Red (Taylor's Version),2021-11-12,3,3S7HNKPakdwNEBFIVTL6dZ,spotify:track:3S7HNKPakdwNEBFIVTL6dZ,0.0344,0.645,0.593,0.000127,0.13,-6.506,0.0288,109.984,0.299,65,242720</t>
  </si>
  <si>
    <t>171,I Knew You Were Trouble (Taylor's Version),Red (Taylor's Version),2021-11-12,4,6AtZLIzUINvExIUy4QhdjP,spotify:track:6AtZLIzUINvExIUy4QhdjP,0.0129,0.584,0.557,0.0,0.0576,-6.371,0.0342,154.008,0.767,76,219760</t>
  </si>
  <si>
    <t>172,All Too Well (Taylor's Version),Red (Taylor's Version),2021-11-12,5,3nsfB1vus2qaloUdcBZvDu,spotify:track:3nsfB1vus2qaloUdcBZvDu,0.0171,0.44,0.528,0.00203,0.234,-7.809,0.0317,185.972,0.132,71,329160</t>
  </si>
  <si>
    <t>173,22 (Taylor's Version),Red (Taylor's Version),2021-11-12,6,3yII7UwgLF6K5zW3xad3MP,spotify:track:3yII7UwgLF6K5zW3xad3MP,0.000443,0.642,0.695,1.02e-05,0.0753,-5.62,0.0281,103.984,0.642,76,230960</t>
  </si>
  <si>
    <t>174,I Almost Do (Taylor's Version),Red (Taylor's Version),2021-11-12,7,2r9CbjYgFhtAmcFv1cSquB,spotify:track:2r9CbjYgFhtAmcFv1cSquB,0.0167,0.511,0.559,0.0,0.113,-6.587,0.0264,145.88,0.248,64,244586</t>
  </si>
  <si>
    <t>175,We Are Never Ever Getting Back Together (Taylor's Version),Red (Taylor's Version),2021-11-12,8,5YqltLsjdqFtvqE7Nrysvs,spotify:track:5YqltLsjdqFtvqE7Nrysvs,0.0317,0.567,0.686,1.86e-06,0.0732,-6.139,0.175,172.014,0.716,76,193146</t>
  </si>
  <si>
    <t>176,Stay Stay Stay (Taylor's Version),Red (Taylor's Version),2021-11-12,9,7eQj6r5PIdYKEIZjucBMcq,spotify:track:7eQj6r5PIdYKEIZjucBMcq,0.0848,0.693,0.681,0.0,0.0768,-7.039,0.025,100.02,0.663,64,205786</t>
  </si>
  <si>
    <t>177,The Last Time (feat. Gary Lightbody of Snow Patrol) (Taylor’s Version),Red (Taylor's Version),2021-11-12,10,0y6kdSRCVQhSsHSpWvTUm7,spotify:track:0y6kdSRCVQhSsHSpWvTUm7,0.0399,0.502,0.534,0.0,0.0977,-5.954,0.0278,94.05,0.155,67,299080</t>
  </si>
  <si>
    <t>178,Holy Ground (Taylor's Version),Red (Taylor's Version),2021-11-12,11,7J4b3LVCIGO4CMBDFLPoP6,spotify:track:7J4b3LVCIGO4CMBDFLPoP6,0.0288,0.622,0.809,0.00218,0.109,-5.623,0.0638,156.894,0.511,64,202960</t>
  </si>
  <si>
    <t>179,Sad Beautiful Tragic (Taylor's Version),Red (Taylor's Version),2021-11-12,12,73qMN9bXy7MSPwwGfH3wQr,spotify:track:73qMN9bXy7MSPwwGfH3wQr,0.622,0.601,0.406,9.19e-05,0.133,-11.827,0.0275,130.059,0.232,65,284773</t>
  </si>
  <si>
    <t>180,The Lucky One (Taylor's Version),Red (Taylor's Version),2021-11-12,13,4e5ayHsOLJNLTGfjau2mEw,spotify:track:4e5ayHsOLJNLTGfjau2mEw,0.066,0.686,0.571,0.0,0.0608,-7.138,0.05,117.889,0.538,63,240466</t>
  </si>
  <si>
    <t>181,Everything Has Changed (feat. Ed Sheeran) (Taylor’s Version),Red (Taylor's Version),2021-11-12,14,7qEUFOVcxRI19tbT68JcYK,spotify:track:7qEUFOVcxRI19tbT68JcYK,0.271,0.498,0.61,0.0,0.223,-5.098,0.0363,79.918,0.474,70,245426</t>
  </si>
  <si>
    <t>182,Starlight (Taylor's Version),Red (Taylor's Version),2021-11-12,15,7A2cNLRT0YJc1yjxHlKihs,spotify:track:7A2cNLRT0YJc1yjxHlKihs,0.00324,0.628,0.685,0.0,0.18,-5.864,0.0358,126.014,0.605,63,220413</t>
  </si>
  <si>
    <t>183,Begin Again (Taylor's Version),Red (Taylor's Version),2021-11-12,16,05GsNucq8Bngd9fnd4fRa0,spotify:track:05GsNucq8Bngd9fnd4fRa0,0.075,0.519,0.527,0.0,0.132,-7.673,0.0274,78.915,0.267,66,238866</t>
  </si>
  <si>
    <t>184,The Moment I Knew (Taylor's Version),Red (Taylor's Version),2021-11-12,17,0NRHj8hDwwmSPaA41o379r,spotify:track:0NRHj8hDwwmSPaA41o379r,0.0494,0.636,0.402,0.0,0.107,-7.855,0.031,125.952,0.208,63,285280</t>
  </si>
  <si>
    <t>185,Come Back...Be Here (Taylor's Version),Red (Taylor's Version),2021-11-12,18,4pNApnaUWAL2J4KO2eqokq,spotify:track:4pNApnaUWAL2J4KO2eqokq,0.0158,0.46,0.632,0.0,0.0822,-6.031,0.0302,79.846,0.399,66,223333</t>
  </si>
  <si>
    <t>186,Girl At Home (Taylor's Version),Red (Taylor's Version),2021-11-12,19,0DMVrlMUn01M0IcpDbwgu7,spotify:track:0DMVrlMUn01M0IcpDbwgu7,0.00955,0.691,0.736,1.88e-05,0.101,-6.974,0.0326,125.089,0.612,61,220520</t>
  </si>
  <si>
    <t>187,State Of Grace (Acoustic Version) (Taylor's Version),Red (Taylor's Version),2021-11-12,20,5jAIouBES8LWMiriuNq170,spotify:track:5jAIouBES8LWMiriuNq170,0.663,0.445,0.131,1.57e-06,0.108,-13.778,0.0564,208.918,0.101,61,321640</t>
  </si>
  <si>
    <t>188,Ronan (Taylor's Version),Red (Taylor's Version),2021-11-12,21,7nWui6jiMM2m9qFmET1Mtj,spotify:track:7nWui6jiMM2m9qFmET1Mtj,0.661,0.623,0.279,0.0,0.193,-10.802,0.031,116.04,0.38,58,264253</t>
  </si>
  <si>
    <t>189,Better Man (Taylor's Version) (From The Vault),Red (Taylor's Version),2021-11-12,22,4OmFmE0fzcMG6g0Y8p4eSD,spotify:track:4OmFmE0fzcMG6g0Y8p4eSD,0.214,0.473,0.579,0.0,0.0877,-5.824,0.0384,73.942,0.255,67,297013</t>
  </si>
  <si>
    <t>190,Nothing New (feat. Phoebe Bridgers) (Taylor’s Version) (From The Vault),Red (Taylor's Version),2021-11-12,23,01K4zKU104LyJ8gMb7227B,spotify:track:01K4zKU104LyJ8gMb7227B,0.817,0.606,0.377,0.0,0.154,-9.455,0.0275,101.96,0.446,70,258812</t>
  </si>
  <si>
    <t>191,Babe (Taylor's Version) (From The Vault),Red (Taylor's Version),2021-11-12,24,0v4z1tuZvn6LGknom9Qx7d,spotify:track:0v4z1tuZvn6LGknom9Qx7d,0.0538,0.584,0.743,2.83e-06,0.121,-7.075,0.0931,167.844,0.746,67,224240</t>
  </si>
  <si>
    <t>192,Message In A Bottle (Taylor's Version) (From The Vault),Red (Taylor's Version),2021-11-12,25,3z6XUommYDWPHeFhmhhT6j,spotify:track:3z6XUommYDWPHeFhmhhT6j,0.00188,0.622,0.791,3.72e-06,0.083,-6.106,0.0535,115.915,0.494,70,225960</t>
  </si>
  <si>
    <t>193,I Bet You Think About Me (feat. Chris Stapleton) (Taylor’s Version) (From The Vault),Red (Taylor's Version),2021-11-12,26,4CkgMiMqZ5JzW9iYXSTMTL,spotify:track:4CkgMiMqZ5JzW9iYXSTMTL,0.167,0.391,0.715,0.0,0.183,-4.516,0.0495,149.654,0.473,70,285106</t>
  </si>
  <si>
    <t>194,Forever Winter (Taylor's Version) (From The Vault),Red (Taylor's Version),2021-11-12,27,3oGVx9RBmiYGv5ZCecWLkx,spotify:track:3oGVx9RBmiYGv5ZCecWLkx,0.256,0.611,0.552,0.0,0.134,-5.828,0.031,116.012,0.41,63,263533</t>
  </si>
  <si>
    <t>195,Run (feat. Ed Sheeran) (Taylor’s Version) (From The Vault),Red (Taylor's Version),2021-11-12,28,4IQkfUsrwXol38VV3U7t7T,spotify:track:4IQkfUsrwXol38VV3U7t7T,0.817,0.61,0.488,0.0,0.312,-6.918,0.0293,125.039,0.443,64,240226</t>
  </si>
  <si>
    <t>196,The Very First Night (Taylor's Version) (From The Vault),Red (Taylor's Version),2021-11-12,29,6pYNq0ZwpPVazKzsqpf0G8,spotify:track:6pYNq0ZwpPVazKzsqpf0G8,0.00115,0.678,0.733,0.0,0.104,-5.025,0.0281,121.009,0.581,69,200280</t>
  </si>
  <si>
    <t>197,All Too Well (10 Minute Version) (Taylor's Version) (From The Vault),Red (Taylor's Version),2021-11-12,30,5enxwA8aAbwZbf5qCHORXi,spotify:track:5enxwA8aAbwZbf5qCHORXi,0.274,0.631,0.518,0.0,0.088,-8.771,0.0303,93.023,0.205,80,613026</t>
  </si>
  <si>
    <t>198,Fearless (Taylor’s Version),Fearless (Taylor's Version),2021-04-09,1,77sMIMlNaSURUAXq5coCxE,spotify:track:77sMIMlNaSURUAXq5coCxE,0.0122,0.569,0.741,0.0,0.333,-4.963,0.0282,100.118,0.43,78,241591</t>
  </si>
  <si>
    <t>199,Fifteen (Taylor’s Version),Fearless (Taylor's Version),2021-04-09,2,2nqio0SfWg6gh2eCtfuMa5,spotify:track:2nqio0SfWg6gh2eCtfuMa5,0.116,0.559,0.646,0.0,0.32,-4.61,0.0272,95.466,0.289,66,294419</t>
  </si>
  <si>
    <t>200,Love Story (Taylor’s Version),Fearless (Taylor's Version),2021-04-09,3,6YvqWjhGD8mB5QXcbcUKtx,spotify:track:6YvqWjhGD8mB5QXcbcUKtx,0.13,0.627,0.792,3.97e-06,0.0845,-4.311,0.031,119.054,0.415,78,235766</t>
  </si>
  <si>
    <t>201,Hey Stephen (Taylor’s Version),Fearless (Taylor's Version),2021-04-09,4,550erGcdD9n6PnwxrvYqZT,spotify:track:550erGcdD9n6PnwxrvYqZT,0.106,0.788,0.571,0.0,0.0934,-6.135,0.0296,115.99,0.797,65,254254</t>
  </si>
  <si>
    <t>202,White Horse (Taylor’s Version),Fearless (Taylor's Version),2021-04-09,5,5YL553x8sHderRBDlm3NM3,spotify:track:5YL553x8sHderRBDlm3NM3,0.369,0.423,0.517,0.0,0.177,-7.377,0.0486,185.262,0.366,67,234515</t>
  </si>
  <si>
    <t>203,You Belong With Me (Taylor’s Version),Fearless (Taylor's Version),2021-04-09,6,1qrpoAMXodY6895hGKoUpA,spotify:track:1qrpoAMXodY6895hGKoUpA,0.0623,0.632,0.773,0.0,0.0885,-4.856,0.0346,130.033,0.474,81,231124</t>
  </si>
  <si>
    <t>204,Breathe (feat. Colbie Caillat) (Taylor’s Version),Fearless (Taylor's Version),2021-04-09,7,7HC7R2D8WjXVcUHJyEGjRs,spotify:track:7HC7R2D8WjXVcUHJyEGjRs,0.156,0.506,0.626,0.0,0.228,-6.066,0.0287,148.035,0.321,63,263377</t>
  </si>
  <si>
    <t>205,Tell Me Why (Taylor’s Version),Fearless (Taylor's Version),2021-04-09,8,0k0vFacOHNuArLWMiH60p7,spotify:track:0k0vFacOHNuArLWMiH60p7,0.0222,0.578,0.909,0.0,0.333,-3.669,0.0628,100.023,0.541,62,200575</t>
  </si>
  <si>
    <t>206,You’re Not Sorry (Taylor’s Version),Fearless (Taylor's Version),2021-04-09,9,6iiAfo4wTA2CVC3Uwx9uh8,spotify:track:6iiAfo4wTA2CVC3Uwx9uh8,0.0538,0.506,0.444,0.0,0.123,-4.99,0.0285,133.873,0.241,64,261842</t>
  </si>
  <si>
    <t>207,The Way I Loved You (Taylor’s Version),Fearless (Taylor's Version),2021-04-09,10,22bPsP2jCgbLUvh82U0Z3M,spotify:track:22bPsP2jCgbLUvh82U0Z3M,0.0033,0.402,0.732,0.0,0.108,-4.665,0.0484,161.032,0.472,76,243136</t>
  </si>
  <si>
    <t>208,Forever &amp; Always (Taylor’s Version),Fearless (Taylor's Version),2021-04-09,11,1msEuwSBneBKpVCZQcFTsU,spotify:track:1msEuwSBneBKpVCZQcFTsU,0.0231,0.598,0.821,0.0,0.143,-4.433,0.0447,128.03,0.673,67,225328</t>
  </si>
  <si>
    <t>209,The Best Day (Taylor’s Version),Fearless (Taylor's Version),2021-04-09,12,6ON9UuIq49xXY9GPmHIYRp,spotify:track:6ON9UuIq49xXY9GPmHIYRp,0.488,0.642,0.576,0.0,0.159,-8.524,0.0282,125.0,0.469,61,245290</t>
  </si>
  <si>
    <t>210,Change (Taylor’s Version),Fearless (Taylor's Version),2021-04-09,13,3ExweHKZF9B752DPQByRVT,spotify:track:3ExweHKZF9B752DPQByRVT,0.000191,0.499,0.815,0.0,0.181,-4.063,0.0341,95.999,0.344,60,279359</t>
  </si>
  <si>
    <t>211,Jump Then Fall (Taylor’s Version),Fearless (Taylor's Version),2021-04-09,14,2m3ObD945KvpE5y9A1eUWm,spotify:track:2m3ObD945KvpE5y9A1eUWm,0.0474,0.572,0.69,0.0,0.0897,-6.201,0.0358,160.111,0.624,62,237580</t>
  </si>
  <si>
    <t>212,Untouchable (Taylor’s Version),Fearless (Taylor's Version),2021-04-09,15,0tQ9vBYpldCuikPsbgOVKA,spotify:track:0tQ9vBYpldCuikPsbgOVKA,0.0181,0.393,0.531,0.0,0.169,-6.112,0.0329,200.391,0.224,63,312107</t>
  </si>
  <si>
    <t>213,Forever &amp; Always (Piano Version) (Taylor’s Version),Fearless (Taylor's Version),2021-04-09,16,01QdEx6kFr78ZejhQtWR5m,spotify:track:01QdEx6kFr78ZejhQtWR5m,0.819,0.546,0.273,0.0,0.137,-9.208,0.0308,118.753,0.271,61,267833</t>
  </si>
  <si>
    <t>214,Come In With The Rain (Taylor’s Version),Fearless (Taylor's Version),2021-04-09,17,1n2wszmJyVkw6FHqyLnQsY,spotify:track:1n2wszmJyVkw6FHqyLnQsY,0.0406,0.476,0.564,0.0,0.102,-5.677,0.0269,143.929,0.167,59,237338</t>
  </si>
  <si>
    <t>215,Superstar (Taylor’s Version),Fearless (Taylor's Version),2021-04-09,18,51A8eKvvZz9uydvIZ7xRSV,spotify:track:51A8eKvvZz9uydvIZ7xRSV,0.157,0.454,0.555,0.0,0.343,-6.69,0.0283,171.862,0.171,59,263865</t>
  </si>
  <si>
    <t>216,The Other Side Of The Door (Taylor’s Version),Fearless (Taylor's Version),2021-04-09,19,1cSFlSBdpT4F5vb1frQ231,spotify:track:1cSFlSBdpT4F5vb1frQ231,0.0279,0.432,0.873,0.0,0.167,-4.367,0.0577,163.936,0.629,64,238443</t>
  </si>
  <si>
    <t>217,Today Was A Fairytale (Taylor’s Version),Fearless (Taylor's Version),2021-04-09,20,2JoJrsEV15OzbijS47lids,spotify:track:2JoJrsEV15OzbijS47lids,0.0135,0.482,0.779,0.0,0.296,-5.025,0.0409,158.162,0.328,62,241822</t>
  </si>
  <si>
    <t>218,You All Over Me (feat. Maren Morris) (Taylor’s Version) (From The Vault),Fearless (Taylor's Version),2021-04-09,21,4CHpVfAhuxNJ3ibExe6kxO,spotify:track:4CHpVfAhuxNJ3ibExe6kxO,0.816,0.599,0.494,0.0,0.101,-7.61,0.0372,142.893,0.44,59,220839</t>
  </si>
  <si>
    <t>219,Mr. Perfectly Fine (Taylor’s Version) (From The Vault),Fearless (Taylor's Version),2021-04-09,22,2CYVETnhM9aytqrazYYwrK,spotify:track:2CYVETnhM9aytqrazYYwrK,0.162,0.66,0.817,0.0,0.0667,-6.269,0.0521,135.942,0.714,70,277591</t>
  </si>
  <si>
    <t>220,We Were Happy (Taylor’s Version) (From The Vault),Fearless (Taylor's Version),2021-04-09,23,34V9RiEPe8MNdU32qJsJa1,spotify:track:34V9RiEPe8MNdU32qJsJa1,0.849,0.609,0.373,0.0,0.0779,-8.819,0.0263,106.007,0.13,62,244236</t>
  </si>
  <si>
    <t>221,That’s When (feat. Keith Urban) (Taylor’s Version) (From The Vault),Fearless (Taylor's Version),2021-04-09,24,7eResoqEJJAVTkQYSqvO3P,spotify:track:7eResoqEJJAVTkQYSqvO3P,0.225,0.588,0.608,0.0,0.092,-7.062,0.0365,90.201,0.508,64,189495</t>
  </si>
  <si>
    <t>222,Don’t You (Taylor’s Version) (From The Vault),Fearless (Taylor's Version),2021-04-09,25,4uuEGH5SVuzkkSFjo2DEiY,spotify:track:4uuEGH5SVuzkkSFjo2DEiY,0.514,0.563,0.473,1.2e-05,0.109,-11.548,0.0503,101.934,0.405,63,208608</t>
  </si>
  <si>
    <t>223,Bye Bye Baby (Taylor’s Version) (From The Vault),Fearless (Taylor's Version),2021-04-09,26,4qUijfYU8EoIWiY6oSyrgT,spotify:track:4qUijfYU8EoIWiY6oSyrgT,0.334,0.624,0.624,0.0,0.0995,-7.86,0.0539,80.132,0.527,61,242157</t>
  </si>
  <si>
    <t>224,willow,evermore (deluxe version),2021-01-07,1,2gVhfX2Gy1T9kDuS9azrF7,spotify:track:2gVhfX2Gy1T9kDuS9azrF7,0.833,0.392,0.574,0.00179,0.145,-9.195,0.17,81.112,0.529,66,214706</t>
  </si>
  <si>
    <t>225,champagne problems,evermore (deluxe version),2021-01-07,2,1gcyHQpBQ1lfXGdhZmWrHP,spotify:track:1gcyHQpBQ1lfXGdhZmWrHP,0.92,0.462,0.24,0.0,0.113,-12.077,0.0377,171.319,0.32,67,244000</t>
  </si>
  <si>
    <t>226,gold rush,evermore (deluxe version),2021-01-07,3,3Dby3p1m6IOZn2gIIqECgK,spotify:track:3Dby3p1m6IOZn2gIIqECgK,0.83,0.512,0.462,0.166,0.121,-10.491,0.0408,112.05,0.353,64,185320</t>
  </si>
  <si>
    <t>227,‘tis the damn season,evermore (deluxe version),2021-01-07,4,6sQckd3Z8NPxVVKUnavY1F,spotify:track:6sQckd3Z8NPxVVKUnavY1F,0.735,0.575,0.434,6.59e-05,0.105,-8.193,0.0312,145.916,0.348,64,229840</t>
  </si>
  <si>
    <t>228,tolerate it,evermore (deluxe version),2021-01-07,5,6lCvK2AR2uOKkVFCVlAzzm,spotify:track:6lCvK2AR2uOKkVFCVlAzzm,0.878,0.316,0.361,2.67e-05,0.0797,-10.381,0.0488,74.952,0.221,66,245440</t>
  </si>
  <si>
    <t>229,"no body, no crime (feat. HAIM)",evermore (deluxe version),2021-01-07,6,6uwfVkaOM1mcMkFmSn35ix,spotify:track:6uwfVkaOM1mcMkFmSn35ix,0.418,0.546,0.613,0.0,0.103,-7.589,0.0264,79.015,0.535,64,215626</t>
  </si>
  <si>
    <t>230,happiness,evermore (deluxe version),2021-01-07,7,55Vf4bimc1Rtfg0PAQRAo2,spotify:track:55Vf4bimc1Rtfg0PAQRAo2,0.87,0.559,0.334,0.0,0.114,-10.733,0.0376,122.079,0.211,62,315146</t>
  </si>
  <si>
    <t>231,dorothea,evermore (deluxe version),2021-01-07,8,66tOfHVH3aUrscg8vExRV4,spotify:track:66tOfHVH3aUrscg8vExRV4,0.696,0.605,0.488,0.0,0.129,-8.322,0.0264,119.966,0.354,61,225880</t>
  </si>
  <si>
    <t>232,coney island (feat. The National),evermore (deluxe version),2021-01-07,9,2awNGIJHodfLZSClB3PYhz,spotify:track:2awNGIJHodfLZSClB3PYhz,0.819,0.537,0.537,0.000904,0.142,-11.266,0.0617,107.895,0.292,63,275320</t>
  </si>
  <si>
    <t>233,ivy,evermore (deluxe version),2021-01-07,10,43Ykum9T72UOPhBN31grpN,spotify:track:43Ykum9T72UOPhBN31grpN,0.855,0.515,0.545,1.97e-05,0.0921,-9.277,0.0353,88.856,0.535,63,260440</t>
  </si>
  <si>
    <t>234,cowboy like me,evermore (deluxe version),2021-01-07,11,52OkpDsU6MmPx1AwGOb6Ap,spotify:track:52OkpDsU6MmPx1AwGOb6Ap,0.768,0.604,0.517,0.000155,0.123,-9.014,0.0347,127.967,0.511,63,275040</t>
  </si>
  <si>
    <t>235,long story short,evermore (deluxe version),2021-01-07,12,5VYWxXUpxuxEmCqMLDqICo,spotify:track:5VYWxXUpxuxEmCqMLDqICo,0.66,0.546,0.73,0.179,0.0972,-7.704,0.0417,157.895,0.573,62,215920</t>
  </si>
  <si>
    <t>236,marjorie,evermore (deluxe version),2021-01-07,13,5uICWmZTLkpEVbK22PBP6e,spotify:track:5uICWmZTLkpEVbK22PBP6e,0.876,0.535,0.561,0.000136,0.115,-11.609,0.0484,96.103,0.287,63,257773</t>
  </si>
  <si>
    <t>237,closure,evermore (deluxe version),2021-01-07,14,6a8aUhYbaQBUI8PcJ5ZmQ6,spotify:track:6a8aUhYbaQBUI8PcJ5ZmQ6,0.835,0.689,0.704,4.83e-06,0.134,-10.813,0.245,151.884,0.92,60,180653</t>
  </si>
  <si>
    <t>238,evermore (feat. Bon Iver),evermore (deluxe version),2021-01-07,15,6Wlq9rqkxrqj5Kls4Kw14H,spotify:track:6Wlq9rqkxrqj5Kls4Kw14H,0.937,0.39,0.27,0.00227,0.111,-10.673,0.0308,125.177,0.32,64,304106</t>
  </si>
  <si>
    <t>239,right where you left me - bonus track,evermore (deluxe version),2021-01-07,16,3zwMVvkBe2qIKDObWgXw4N,spotify:track:3zwMVvkBe2qIKDObWgXw4N,0.769,0.581,0.619,0.000106,0.117,-6.524,0.0282,137.915,0.645,74,245026</t>
  </si>
  <si>
    <t>240,it’s time to go - bonus track,evermore (deluxe version),2021-01-07,17,1kdWw77ZpYOkhxeuhzU1j6,spotify:track:1kdWw77ZpYOkhxeuhzU1j6,0.801,0.592,0.41,1.39e-05,0.09,-12.426,0.0397,151.923,0.416,66,254640</t>
  </si>
  <si>
    <t>241,willow,evermore,2020-12-11,1,0lx2cLdOt3piJbcaXIV74f,spotify:track:0lx2cLdOt3piJbcaXIV74f,0.833,0.392,0.574,0.00179,0.145,-9.195,0.17,81.112,0.529,77,214706</t>
  </si>
  <si>
    <t>242,champagne problems,evermore,2020-12-11,2,0sY6ZUTh4yoctD8VIXz339,spotify:track:0sY6ZUTh4yoctD8VIXz339,0.92,0.462,0.24,0.0,0.113,-12.077,0.0377,171.319,0.32,77,244000</t>
  </si>
  <si>
    <t>243,gold rush,evermore,2020-12-11,3,5BK0uqwY9DNfZ630STAEaq,spotify:track:5BK0uqwY9DNfZ630STAEaq,0.83,0.512,0.462,0.166,0.121,-10.491,0.0408,112.05,0.353,67,185320</t>
  </si>
  <si>
    <t>244,‘tis the damn season,evermore,2020-12-11,4,7dW84mWkdWE5a6lFWxJCBG,spotify:track:7dW84mWkdWE5a6lFWxJCBG,0.735,0.575,0.434,6.59e-05,0.105,-8.193,0.0312,145.916,0.348,65,229840</t>
  </si>
  <si>
    <t>245,tolerate it,evermore,2020-12-11,5,0PurA4JVJ8YQgSVopY8fn6,spotify:track:0PurA4JVJ8YQgSVopY8fn6,0.878,0.316,0.361,2.67e-05,0.0797,-10.381,0.0488,74.952,0.221,72,245440</t>
  </si>
  <si>
    <t>246,"no body, no crime (feat. HAIM)",evermore,2020-12-11,6,3RaT22zZsxVYxxKR7TAaYF,spotify:track:3RaT22zZsxVYxxKR7TAaYF,0.418,0.546,0.613,0.0,0.103,-7.589,0.0264,79.015,0.535,66,215626</t>
  </si>
  <si>
    <t>247,happiness,evermore,2020-12-11,7,73YUReisjb3A9ActdLLjJQ,spotify:track:73YUReisjb3A9ActdLLjJQ,0.87,0.559,0.334,0.0,0.114,-10.733,0.0376,122.079,0.211,64,315146</t>
  </si>
  <si>
    <t>248,dorothea,evermore,2020-12-11,8,670fUmXf4KQekzbEgaXyPA,spotify:track:670fUmXf4KQekzbEgaXyPA,0.696,0.605,0.488,0.0,0.129,-8.322,0.0264,119.966,0.354,62,225880</t>
  </si>
  <si>
    <t>249,coney island (feat. The National),evermore,2020-12-11,9,3k7ne7VmH43ZPWxPdvPUgR,spotify:track:3k7ne7VmH43ZPWxPdvPUgR,0.819,0.537,0.537,0.000904,0.142,-11.266,0.0617,107.895,0.292,61,275320</t>
  </si>
  <si>
    <t>250,ivy,evermore,2020-12-11,10,19CSr8rwW05VJL2F91KFNK,spotify:track:19CSr8rwW05VJL2F91KFNK,0.855,0.515,0.545,1.97e-05,0.0921,-9.277,0.0353,88.856,0.535,66,260440</t>
  </si>
  <si>
    <t>251,cowboy like me,evermore,2020-12-11,11,1XjHRolIXL2M1EEOUsGGR4,spotify:track:1XjHRolIXL2M1EEOUsGGR4,0.768,0.604,0.517,0.000155,0.123,-9.014,0.0347,127.967,0.511,65,275040</t>
  </si>
  <si>
    <t>252,long story short,evermore,2020-12-11,12,2o2sgVJIgFXk8GQjWTgI6U,spotify:track:2o2sgVJIgFXk8GQjWTgI6U,0.66,0.546,0.73,0.179,0.0972,-7.704,0.0417,157.895,0.573,62,215920</t>
  </si>
  <si>
    <t>253,marjorie,evermore,2020-12-11,13,12ntTeqEeTg7GAVpe8Mhpl,spotify:track:12ntTeqEeTg7GAVpe8Mhpl,0.876,0.535,0.561,0.000136,0.115,-11.609,0.0484,96.103,0.287,70,257773</t>
  </si>
  <si>
    <t>254,closure,evermore,2020-12-11,14,35rdVq36LMHQX0Suw9a6tK,spotify:track:35rdVq36LMHQX0Suw9a6tK,0.835,0.689,0.704,4.83e-06,0.134,-10.813,0.245,151.884,0.92,59,180653</t>
  </si>
  <si>
    <t>255,evermore (feat. Bon Iver),evermore,2020-12-11,15,3O5osWf1rSoKMwe6E9ZaXP,spotify:track:3O5osWf1rSoKMwe6E9ZaXP,0.937,0.39,0.27,0.00227,0.111,-10.673,0.0308,125.177,0.32,63,304106</t>
  </si>
  <si>
    <t>256,the 1,folklore: the long pond studio sessions (from the Disney+ special) [deluxe edition],2020-11-25,1,0P9wLFurlgumLXuqFEpw52,spotify:track:0P9wLFurlgumLXuqFEpw52,0.75,0.78,0.361,7.14e-06,0.108,-6.942,0.048,139.902,0.163,48,210240</t>
  </si>
  <si>
    <t>257,cardigan,folklore: the long pond studio sessions (from the Disney+ special) [deluxe edition],2020-11-25,2,7zcnlq38eqNWyUF6eNaB5Z,spotify:track:7zcnlq38eqNWyUF6eNaB5Z,0.525,0.612,0.58,0.000414,0.26,-8.572,0.0419,130.045,0.534,49,239560</t>
  </si>
  <si>
    <t>258,the last great american dynasty,folklore: the long pond studio sessions (from the Disney+ special) [deluxe edition],2020-11-25,3,4ojxSyrEraN7d46BMBPThZ,spotify:track:4ojxSyrEraN7d46BMBPThZ,0.481,0.688,0.653,0.00414,0.106,-8.558,0.0403,147.991,0.701,47,231000</t>
  </si>
  <si>
    <t>259,exile (feat. Bon Iver),folklore: the long pond studio sessions (from the Disney+ special) [deluxe edition],2020-11-25,4,6kz2hkq1xQvDqPcUyBkw8f,spotify:track:6kz2hkq1xQvDqPcUyBkw8f,0.761,0.31,0.374,2.46e-05,0.11,-8.464,0.0275,75.938,0.16,48,285640</t>
  </si>
  <si>
    <t>260,my tears ricochet,folklore: the long pond studio sessions (from the Disney+ special) [deluxe edition],2020-11-25,5,0Oju1YcbPCJuUQQWoZNdJK,spotify:track:0Oju1YcbPCJuUQQWoZNdJK,0.814,0.456,0.265,0.0,0.0679,-10.663,0.0328,129.947,0.112,48,255893</t>
  </si>
  <si>
    <t>261,mirrorball,folklore: the long pond studio sessions (from the Disney+ special) [deluxe edition],2020-11-25,6,5jQyGzcwqAxwT5QUIMivoX,spotify:track:5jQyGzcwqAxwT5QUIMivoX,0.686,0.549,0.417,1.9e-06,0.0604,-10.064,0.035,110.137,0.347,46,208973</t>
  </si>
  <si>
    <t>262,seven,folklore: the long pond studio sessions (from the Disney+ special) [deluxe edition],2020-11-25,7,2vJ7QvyCiR4DaHxwO58izA,spotify:track:2vJ7QvyCiR4DaHxwO58izA,0.888,0.602,0.494,2.59e-05,0.0902,-10.813,0.0277,94.955,0.374,45,208906</t>
  </si>
  <si>
    <t>263,august,folklore: the long pond studio sessions (from the Disney+ special) [deluxe edition],2020-11-25,8,1UHoF9p75IVsvUt6WdTYhn,spotify:track:1UHoF9p75IVsvUt6WdTYhn,0.553,0.387,0.634,6.93e-05,0.0931,-9.222,0.0363,89.567,0.42,48,261920</t>
  </si>
  <si>
    <t>264,this is me trying,folklore: the long pond studio sessions (from the Disney+ special) [deluxe edition],2020-11-25,9,5DnDBYrfGoxdnomqEAkFIv,spotify:track:5DnDBYrfGoxdnomqEAkFIv,0.312,0.511,0.478,2.3e-05,0.147,-9.837,0.0322,135.882,0.408,47,195106</t>
  </si>
  <si>
    <t>265,illicit affairs,folklore: the long pond studio sessions (from the Disney+ special) [deluxe edition],2020-11-25,10,7CVTowKpGPA2MsIbkTl2oc,spotify:track:7CVTowKpGPA2MsIbkTl2oc,0.862,0.529,0.304,0.0,0.108,-10.567,0.0356,119.58,0.44,46,190893</t>
  </si>
  <si>
    <t>266,invisible string,folklore: the long pond studio sessions (from the Disney+ special) [deluxe edition],2020-11-25,11,4WHIqhrbdva5vQSrCuet3l,spotify:track:4WHIqhrbdva5vQSrCuet3l,0.859,0.651,0.459,6.63e-05,0.105,-11.128,0.0507,83.455,0.454,46,252880</t>
  </si>
  <si>
    <t>267,mad woman,folklore: the long pond studio sessions (from the Disney+ special) [deluxe edition],2020-11-25,12,7klXN6RCN5Rj0VeYO5gBzU,spotify:track:7klXN6RCN5Rj0VeYO5gBzU,0.67,0.593,0.7,6.77e-06,0.116,-9.016,0.0492,141.898,0.451,44,237266</t>
  </si>
  <si>
    <t>268,epiphany,folklore: the long pond studio sessions (from the Disney+ special) [deluxe edition],2020-11-25,13,5MFjHn1qfR9AsWuyzJLk1z,spotify:track:5MFjHn1qfR9AsWuyzJLk1z,0.727,0.317,0.254,0.000326,0.0867,-13.679,0.0286,93.933,0.103,43,289746</t>
  </si>
  <si>
    <t>269,betty,folklore: the long pond studio sessions (from the Disney+ special) [deluxe edition],2020-11-25,14,2jhfs6moEAK13eLM6xim4l,spotify:track:2jhfs6moEAK13eLM6xim4l,0.589,0.595,0.376,0.0,0.0989,-8.767,0.0256,95.946,0.476,45,294520</t>
  </si>
  <si>
    <t>270,peace,folklore: the long pond studio sessions (from the Disney+ special) [deluxe edition],2020-11-25,15,0O9i6jhscByEJs1ipy5hu4,spotify:track:0O9i6jhscByEJs1ipy5hu4,0.916,0.644,0.284,1.5e-05,0.0909,-12.879,0.0821,150.072,0.328,43,234000</t>
  </si>
  <si>
    <t>271,hoax,folklore: the long pond studio sessions (from the Disney+ special) [deluxe edition],2020-11-25,16,4XCYmu7QLySdIahgBALKJK,spotify:track:4XCYmu7QLySdIahgBALKJK,0.964,0.676,0.178,7.9e-06,0.135,-15.01,0.0394,118.84,0.404,43,220040</t>
  </si>
  <si>
    <t>272,the lakes - bonus track,folklore: the long pond studio sessions (from the Disney+ special) [deluxe edition],2020-11-25,17,0zEprKYeuGOIZoHyu6O1E2,spotify:track:0zEprKYeuGOIZoHyu6O1E2,0.842,0.313,0.258,1.3e-06,0.0948,-11.532,0.0383,179.947,0.268,45,211813</t>
  </si>
  <si>
    <t>273,the 1 - the long pond studio sessions,folklore: the long pond studio sessions (from the Disney+ special) [deluxe edition],2020-11-25,1,08J4bMHbILkwSIhbtrcvjN,spotify:track:08J4bMHbILkwSIhbtrcvjN,0.898,0.708,0.25,0.026,0.102,-10.731,0.0361,139.803,0.156,54,219893</t>
  </si>
  <si>
    <t>274,cardigan - the long pond studio sessions,folklore: the long pond studio sessions (from the Disney+ special) [deluxe edition],2020-11-25,2,3EPgWM1zfTSzEc0z4AwWTM,spotify:track:3EPgWM1zfTSzEc0z4AwWTM,0.88,0.395,0.234,0.0,0.107,-9.704,0.0382,86.478,0.247,54,230680</t>
  </si>
  <si>
    <t>275,the last great american dynasty - the long pond studio sessions,folklore: the long pond studio sessions (from the Disney+ special) [deluxe edition],2020-11-25,3,28tIMaewZuGR8urkvFhQyA,spotify:track:28tIMaewZuGR8urkvFhQyA,0.743,0.64,0.618,0.004,0.0574,-11.715,0.0379,147.948,0.614,51,232346</t>
  </si>
  <si>
    <t>276,exile (feat. Bon Iver) - the long pond studio sessions,folklore: the long pond studio sessions (from the Disney+ special) [deluxe edition],2020-11-25,4,7N015NTIWGjQDddHUdHPoO,spotify:track:7N015NTIWGjQDddHUdHPoO,0.848,0.359,0.305,6.74e-05,0.111,-10.295,0.0306,151.956,0.108,53,279893</t>
  </si>
  <si>
    <t>277,my tears ricochet - the long pond studio sessions,folklore: the long pond studio sessions (from the Disney+ special) [deluxe edition],2020-11-25,5,5mdNyCS7ttVcAyVYOIFEjs,spotify:track:5mdNyCS7ttVcAyVYOIFEjs,0.946,0.531,0.172,1.01e-05,0.0615,-12.34,0.0351,129.007,0.168,55,295173</t>
  </si>
  <si>
    <t>278,mirrorball - the long pond studio sessions,folklore: the long pond studio sessions (from the Disney+ special) [deluxe edition],2020-11-25,6,2yceD2hx5HhOLgkm1CITCi,spotify:track:2yceD2hx5HhOLgkm1CITCi,0.78,0.509,0.386,3.45e-05,0.118,-8.434,0.0272,109.993,0.109,53,237373</t>
  </si>
  <si>
    <t>279,seven - the long pond studio sessions,folklore: the long pond studio sessions (from the Disney+ special) [deluxe edition],2020-11-25,7,4cOWq0cVsKjxaQpRMbDoH1,spotify:track:4cOWq0cVsKjxaQpRMbDoH1,0.914,0.694,0.449,0.000126,0.1,-11.49,0.0301,94.963,0.363,51,208986</t>
  </si>
  <si>
    <t>280,august - the long pond studio sessions,folklore: the long pond studio sessions (from the Disney+ special) [deluxe edition],2020-11-25,8,4MGexoZc12lqE0hYkq9YYx,spotify:track:4MGexoZc12lqE0hYkq9YYx,0.5,0.554,0.663,4.77e-05,0.791,-8.961,0.0324,89.977,0.545,54,260000</t>
  </si>
  <si>
    <t>281,this is me trying - the long pond studio sessions,folklore: the long pond studio sessions (from the Disney+ special) [deluxe edition],2020-11-25,9,1gaLZjPrDnHQWJds2Jg4KT,spotify:track:1gaLZjPrDnHQWJds2Jg4KT,0.928,0.435,0.332,0.000898,0.0867,-11.611,0.031,68.097,0.157,54,209293</t>
  </si>
  <si>
    <t>282,illicit affairs - the long pond studio sessions,folklore: the long pond studio sessions (from the Disney+ special) [deluxe edition],2020-11-25,10,560uQyz3p5G9WdnMX39xc6,spotify:track:560uQyz3p5G9WdnMX39xc6,0.883,0.489,0.235,0.0,0.113,-10.274,0.0356,117.699,0.435,53,183720</t>
  </si>
  <si>
    <t>283,invisible string - the long pond studio sessions,folklore: the long pond studio sessions (from the Disney+ special) [deluxe edition],2020-11-25,11,5KByGq0JijSSDcy0qzuINs,spotify:track:5KByGq0JijSSDcy0qzuINs,0.942,0.59,0.282,4.85e-06,0.11,-10.542,0.0281,83.438,0.351,51,257359</t>
  </si>
  <si>
    <t>284,mad woman - the long pond studio sessions,folklore: the long pond studio sessions (from the Disney+ special) [deluxe edition],2020-11-25,12,04xrhDrQ2WOW8GLwu7kbc0,spotify:track:04xrhDrQ2WOW8GLwu7kbc0,0.887,0.663,0.465,0.000168,0.109,-10.463,0.0408,141.834,0.346,50,238333</t>
  </si>
  <si>
    <t>285,epiphany - the long pond studio sessions,folklore: the long pond studio sessions (from the Disney+ special) [deluxe edition],2020-11-25,13,4yyKppX85ZkmlGOC2toBZA,spotify:track:4yyKppX85ZkmlGOC2toBZA,0.916,0.524,0.2,0.000392,0.068,-13.004,0.0274,93.87,0.113,49,274880</t>
  </si>
  <si>
    <t>286,betty - the long pond studio sessions,folklore: the long pond studio sessions (from the Disney+ special) [deluxe edition],2020-11-25,14,1mh5dObNoOvCfHmXnhvDEK,spotify:track:1mh5dObNoOvCfHmXnhvDEK,0.841,0.538,0.316,0.0,0.119,-9.5,0.0299,95.68,0.518,51,290040</t>
  </si>
  <si>
    <t>287,peace - the long pond studio sessions,folklore: the long pond studio sessions (from the Disney+ special) [deluxe edition],2020-11-25,15,4YHHz3VIXgNDGdoL9xC1tx,spotify:track:4YHHz3VIXgNDGdoL9xC1tx,0.93,0.619,0.344,7.61e-05,0.0734,-11.472,0.0647,149.897,0.513,50,214373</t>
  </si>
  <si>
    <t>288,hoax - the long pond studio sessions,folklore: the long pond studio sessions (from the Disney+ special) [deluxe edition],2020-11-25,16,0QTBsdoJhamY3Aid3fOsOd,spotify:track:0QTBsdoJhamY3Aid3fOsOd,0.962,0.682,0.155,0.0,0.18,-13.083,0.0394,118.832,0.483,51,221800</t>
  </si>
  <si>
    <t>289,the lakes - the long pond studio sessions,folklore: the long pond studio sessions (from the Disney+ special) [deluxe edition],2020-11-25,17,6mqyTq948oap5AkyTsd6XF,spotify:track:6mqyTq948oap5AkyTsd6XF,0.794,0.606,0.221,0.0,0.0888,-11.767,0.0468,89.844,0.112,53,199733</t>
  </si>
  <si>
    <t>290,the 1,folklore (deluxe version),2020-08-18,1,4pfrrhvplbJZAIsfosGWQP,spotify:track:4pfrrhvplbJZAIsfosGWQP,0.75,0.78,0.361,7.14e-06,0.108,-6.942,0.048,139.902,0.163,68,210240</t>
  </si>
  <si>
    <t>291,cardigan,folklore (deluxe version),2020-08-18,2,0KRYCBwIpWYFNrXOmXbyUh,spotify:track:0KRYCBwIpWYFNrXOmXbyUh,0.525,0.612,0.58,0.000414,0.26,-8.572,0.0419,130.045,0.534,68,239560</t>
  </si>
  <si>
    <t>292,the last great american dynasty,folklore (deluxe version),2020-08-18,3,2olxzvoFI9IpxqFeUv7WOX,spotify:track:2olxzvoFI9IpxqFeUv7WOX,0.481,0.688,0.653,0.00414,0.106,-8.558,0.0403,147.991,0.701,66,231000</t>
  </si>
  <si>
    <t>293,exile (feat. Bon Iver),folklore (deluxe version),2020-08-18,4,5S4aYQAJOwJMAamANWlICO,spotify:track:5S4aYQAJOwJMAamANWlICO,0.761,0.31,0.374,2.46e-05,0.11,-8.464,0.0275,75.938,0.16,68,285640</t>
  </si>
  <si>
    <t>294,my tears ricochet,folklore (deluxe version),2020-08-18,5,5P2bHCDM2tsgIaYWsZMhu5,spotify:track:5P2bHCDM2tsgIaYWsZMhu5,0.814,0.456,0.265,0.0,0.0679,-10.663,0.0328,129.947,0.112,68,255893</t>
  </si>
  <si>
    <t>295,mirrorball,folklore (deluxe version),2020-08-18,6,2I8YAEA1VmCuP1wkJHMpTw,spotify:track:2I8YAEA1VmCuP1wkJHMpTw,0.686,0.549,0.417,1.9e-06,0.0604,-10.064,0.035,110.137,0.347,66,208973</t>
  </si>
  <si>
    <t>296,seven,folklore (deluxe version),2020-08-18,7,76mOLcXOjOEhyY4mMF1l3r,spotify:track:76mOLcXOjOEhyY4mMF1l3r,0.888,0.602,0.494,2.59e-05,0.0902,-10.813,0.0277,94.955,0.374,66,208906</t>
  </si>
  <si>
    <t>297,august,folklore (deluxe version),2020-08-18,8,6nK2pIKFcRc5frrZKHgsiT,spotify:track:6nK2pIKFcRc5frrZKHgsiT,0.553,0.387,0.634,6.93e-05,0.0931,-9.222,0.0363,89.567,0.42,68,261920</t>
  </si>
  <si>
    <t>298,this is me trying,folklore (deluxe version),2020-08-18,9,7cm50Lw03k6VvRauJtkyTj,spotify:track:7cm50Lw03k6VvRauJtkyTj,0.312,0.511,0.478,2.3e-05,0.147,-9.837,0.0322,135.882,0.408,66,195106</t>
  </si>
  <si>
    <t>299,illicit affairs,folklore (deluxe version),2020-08-18,10,6DrLROM5MG9bxWHeEG5elq,spotify:track:6DrLROM5MG9bxWHeEG5elq,0.862,0.529,0.304,0.0,0.108,-10.567,0.0356,119.58,0.44,66,190893</t>
  </si>
  <si>
    <t>300,invisible string,folklore (deluxe version),2020-08-18,11,2ehRU518I0hYqMGQnk4lDY,spotify:track:2ehRU518I0hYqMGQnk4lDY,0.859,0.651,0.459,6.63e-05,0.105,-11.128,0.0507,83.455,0.454,66,252880</t>
  </si>
  <si>
    <t>301,mad woman,folklore (deluxe version),2020-08-18,12,0RP1kqoSPkVXsKiQNhMKzV,spotify:track:0RP1kqoSPkVXsKiQNhMKzV,0.67,0.593,0.7,6.77e-06,0.116,-9.016,0.0492,141.898,0.451,64,237266</t>
  </si>
  <si>
    <t>302,epiphany,folklore (deluxe version),2020-08-18,13,1EXa37LpSvi3OQ9UYQ28rD,spotify:track:1EXa37LpSvi3OQ9UYQ28rD,0.727,0.317,0.254,0.000326,0.0867,-13.679,0.0286,93.933,0.103,63,289746</t>
  </si>
  <si>
    <t>303,betty,folklore (deluxe version),2020-08-18,14,3IhtE4fkytdrtEfV34UzkD,spotify:track:3IhtE4fkytdrtEfV34UzkD,0.589,0.595,0.376,0.0,0.0989,-8.767,0.0256,95.946,0.476,65,294520</t>
  </si>
  <si>
    <t>304,peace,folklore (deluxe version),2020-08-18,15,6JlI8Ay77m4nJvZTHvfT1J,spotify:track:6JlI8Ay77m4nJvZTHvfT1J,0.916,0.644,0.284,1.5e-05,0.0909,-12.879,0.0821,150.072,0.328,63,234000</t>
  </si>
  <si>
    <t>305,hoax,folklore (deluxe version),2020-08-18,16,0YeDG5HnKnG7jpArkzsSPa,spotify:track:0YeDG5HnKnG7jpArkzsSPa,0.964,0.676,0.178,7.9e-06,0.135,-15.01,0.0394,118.84,0.404,63,220040</t>
  </si>
  <si>
    <t>306,the lakes - bonus track,folklore (deluxe version),2020-08-18,17,0eFQWVz0qIxDOvhLpZ40P7,spotify:track:0eFQWVz0qIxDOvhLpZ40P7,0.842,0.313,0.258,1.3e-06,0.0948,-11.532,0.0383,179.947,0.268,67,211813</t>
  </si>
  <si>
    <t>307,the 1,folklore,2020-07-24,1,0Jlcvv8IykzHaSmj49uNW8,spotify:track:0Jlcvv8IykzHaSmj49uNW8,0.757,0.777,0.357,7.28e-06,0.108,-6.942,0.0522,139.884,0.172,74,210251</t>
  </si>
  <si>
    <t>308,cardigan,folklore,2020-07-24,2,4R2kfaDFhslZEMJqAFNpdd,spotify:track:4R2kfaDFhslZEMJqAFNpdd,0.537,0.613,0.581,0.000345,0.25,-8.588,0.0424,130.033,0.551,84,239560</t>
  </si>
  <si>
    <t>309,the last great american dynasty,folklore,2020-07-24,3,2Eeur20xVqfUoM3Q7EFPFt,spotify:track:2Eeur20xVqfUoM3Q7EFPFt,0.467,0.686,0.662,0.0023,0.109,-8.505,0.0413,147.922,0.706,70,230999</t>
  </si>
  <si>
    <t>310,exile (feat. Bon Iver),folklore,2020-07-24,4,4pvb0WLRcMtbPGmtejJJ6y,spotify:track:4pvb0WLRcMtbPGmtejJJ6y,0.778,0.298,0.38,5.62e-05,0.11,-8.426,0.0287,75.602,0.152,77,285634</t>
  </si>
  <si>
    <t>311,my tears ricochet,folklore,2020-07-24,5,1MgV7FIyNxIG7WzMRJV5HC,spotify:track:1MgV7FIyNxIG7WzMRJV5HC,0.806,0.469,0.263,0.0,0.0749,-10.63,0.0329,129.86,0.112,78,255893</t>
  </si>
  <si>
    <t>312,mirrorball,folklore,2020-07-24,6,0ZNU020wNYvgW84iljPkPP,spotify:track:0ZNU020wNYvgW84iljPkPP,0.687,0.553,0.413,2.33e-06,0.0594,-10.037,0.0334,110.107,0.379,73,208977</t>
  </si>
  <si>
    <t>313,seven,folklore,2020-07-24,7,6KJqZcs9XDgVck7Lg9QOTC,spotify:track:6KJqZcs9XDgVck7Lg9QOTC,0.9,0.596,0.488,2.7e-05,0.091,-10.769,0.0274,94.922,0.415,70,208906</t>
  </si>
  <si>
    <t>314,august,folklore,2020-07-24,8,3hUxzQpSfdDqwM3ZTFQY0K,spotify:track:3hUxzQpSfdDqwM3ZTFQY0K,0.538,0.532,0.623,7.28e-05,0.0925,-9.208,0.0331,89.937,0.403,84,261922</t>
  </si>
  <si>
    <t>315,this is me trying,folklore,2020-07-24,9,7kt9e9LFSpN1zQtYEl19o1,spotify:track:7kt9e9LFSpN1zQtYEl19o1,0.314,0.515,0.476,4.74e-05,0.171,-9.843,0.0328,135.886,0.412,73,195097</t>
  </si>
  <si>
    <t>316,illicit affairs,folklore,2020-07-24,10,2NmsngXHeC1GQ9wWrzhOMf,spotify:track:2NmsngXHeC1GQ9wWrzhOMf,0.881,0.559,0.31,0.0,0.106,-10.445,0.0338,119.845,0.46,77,190898</t>
  </si>
  <si>
    <t>317,invisible string,folklore,2020-07-24,11,6VsvKPJ4xjVNKpI8VVZ3SV,spotify:track:6VsvKPJ4xjVNKpI8VVZ3SV,0.838,0.653,0.452,7.73e-05,0.108,-11.143,0.055,83.433,0.45,73,252880</t>
  </si>
  <si>
    <t>318,mad woman,folklore,2020-07-24,12,2QDyYdZyhlP2fp79KZX8Bi,spotify:track:2QDyYdZyhlP2fp79KZX8Bi,0.655,0.592,0.699,1.68e-05,0.114,-8.995,0.0471,141.916,0.506,65,237258</t>
  </si>
  <si>
    <t>319,epiphany,folklore,2020-07-24,13,08fa9LFcFBTcilB3iq2e2A,spotify:track:08fa9LFcFBTcilB3iq2e2A,0.731,0.175,0.267,0.000402,0.0858,-13.69,0.0302,94.203,0.106,64,289749</t>
  </si>
  <si>
    <t>320,betty,folklore,2020-07-24,14,5kI4eCXXzyuIUXjQra0Cxi,spotify:track:5kI4eCXXzyuIUXjQra0Cxi,0.6,0.593,0.377,0.0,0.0976,-8.761,0.0253,95.939,0.502,73,294521</t>
  </si>
  <si>
    <t>321,peace,folklore,2020-07-24,15,7MbT4I8qGntX4fMdqMQgke,spotify:track:7MbT4I8qGntX4fMdqMQgke,0.918,0.647,0.272,1.73e-05,0.0918,-12.906,0.0916,150.044,0.339,65,234000</t>
  </si>
  <si>
    <t>322,hoax,folklore,2020-07-24,16,6MWoRt97mnSTXZhu3ggi9C,spotify:track:6MWoRt97mnSTXZhu3ggi9C,0.966,0.662,0.181,3.86e-06,0.133,-15.065,0.0415,118.819,0.429,65,220042</t>
  </si>
  <si>
    <t>323,I Forgot That You Existed,Lover,2019-08-23,1,43rA71bccXFGD4C8GOpIlN,spotify:track:43rA71bccXFGD4C8GOpIlN,0.298,0.664,0.316,2.03e-06,0.0812,-10.345,0.519,92.875,0.541,71,170640</t>
  </si>
  <si>
    <t>324,Cruel Summer,Lover,2019-08-23,2,1BxfuPKGuaTgP7aM0Bbdwr,spotify:track:1BxfuPKGuaTgP7aM0Bbdwr,0.117,0.552,0.702,2.06e-05,0.105,-5.707,0.157,169.994,0.564,93,178426</t>
  </si>
  <si>
    <t>325,Lover,Lover,2019-08-23,3,1dGr1c8CrMLDpV6mPbImSI,spotify:track:1dGr1c8CrMLDpV6mPbImSI,0.492,0.359,0.543,1.58e-05,0.118,-7.582,0.0919,68.534,0.453,86,221306</t>
  </si>
  <si>
    <t>326,The Man,Lover,2019-08-23,4,3RauEVgRgj1IuWdJ9fDs70,spotify:track:3RauEVgRgj1IuWdJ9fDs70,0.0767,0.777,0.658,0.0,0.0901,-5.191,0.054,110.048,0.633,81,190360</t>
  </si>
  <si>
    <t>327,The Archer,Lover,2019-08-23,5,3pHkh7d0lzM2AldUtz2x37,spotify:track:3pHkh7d0lzM2AldUtz2x37,0.12,0.292,0.574,0.00569,0.0663,-9.375,0.0401,124.344,0.166,75,211240</t>
  </si>
  <si>
    <t>328,I Think He Knows,Lover,2019-08-23,6,2YWtcWi3a83pdEg3Gif4Pd,spotify:track:2YWtcWi3a83pdEg3Gif4Pd,0.00889,0.897,0.366,0.000353,0.0715,-8.029,0.0569,100.003,0.416,72,173386</t>
  </si>
  <si>
    <t>329,Miss Americana &amp; The Heartbreak Prince,Lover,2019-08-23,7,214nt20w5wOxJnY462klLw,spotify:track:214nt20w5wOxJnY462klLw,0.028,0.662,0.747,0.00615,0.138,-6.926,0.0736,150.088,0.487,79,234146</t>
  </si>
  <si>
    <t>330,Paper Rings,Lover,2019-08-23,8,4y5bvROuBDPr5fuwXbIBZR,spotify:track:4y5bvROuBDPr5fuwXbIBZR,0.0129,0.811,0.719,1.36e-05,0.0742,-6.553,0.0497,103.979,0.865,78,222400</t>
  </si>
  <si>
    <t>331,Cornelia Street,Lover,2019-08-23,9,12M5uqx0ZuwkpLp5rJim1a,spotify:track:12M5uqx0ZuwkpLp5rJim1a,0.781,0.824,0.624,0.000189,0.1,-9.728,0.0827,102.012,0.248,74,287266</t>
  </si>
  <si>
    <t>332,Death By A Thousand Cuts,Lover,2019-08-23,10,2dgFqt3w9xIQRjhPtwNk3D,spotify:track:2dgFqt3w9xIQRjhPtwNk3D,0.454,0.712,0.732,0.0,0.319,-6.754,0.0629,94.071,0.313,72,198533</t>
  </si>
  <si>
    <t>333,London Boy,Lover,2019-08-23,11,1LLXZFeAHK9R4xUramtUKw,spotify:track:1LLXZFeAHK9R4xUramtUKw,0.0246,0.695,0.71,0.000104,0.133,-6.639,0.05,157.925,0.557,74,190240</t>
  </si>
  <si>
    <t>334,Soon You’ll Get Better (feat. The Chicks),Lover,2019-08-23,12,4AYtqFyFbX0Xkc2wtcygTr,spotify:track:4AYtqFyFbX0Xkc2wtcygTr,0.907,0.433,0.182,0.0,0.123,-12.566,0.0641,207.476,0.421,66,201586</t>
  </si>
  <si>
    <t>335,False God,Lover,2019-08-23,13,5hQSXkFgbxjZo9uCwd11so,spotify:track:5hQSXkFgbxjZo9uCwd11so,0.736,0.739,0.32,0.000147,0.111,-10.862,0.239,79.97,0.351,73,200306</t>
  </si>
  <si>
    <t>336,You Need To Calm Down,Lover,2019-08-23,14,6RRNNciQGZEXnqk8SQ9yv5,spotify:track:6RRNNciQGZEXnqk8SQ9yv5,0.00929,0.771,0.671,0.0,0.0637,-5.617,0.0553,85.026,0.714,80,171360</t>
  </si>
  <si>
    <t>337,Afterglow,Lover,2019-08-23,15,1SymEzIT3H8UZfibCs3TYi,spotify:track:1SymEzIT3H8UZfibCs3TYi,0.13,0.756,0.449,0.0,0.114,-8.746,0.0344,111.011,0.399,74,223293</t>
  </si>
  <si>
    <t>338,ME! (feat. Brendon Urie of Panic! At The Disco),Lover,2019-08-23,16,2Rk4JlNc2TPmZe2af99d45,spotify:track:2Rk4JlNc2TPmZe2af99d45,0.033,0.61,0.83,0.0,0.118,-4.105,0.0571,182.162,0.728,75,193000</t>
  </si>
  <si>
    <t>339,It’s Nice To Have A Friend,Lover,2019-08-23,17,1SmiQ65iSAbPto6gPFlBYm,spotify:track:1SmiQ65iSAbPto6gPFlBYm,0.971,0.737,0.175,0.000337,0.171,-9.912,0.0401,70.008,0.545,66,150440</t>
  </si>
  <si>
    <t>340,Daylight,Lover,2019-08-23,18,1fzAuUVbzlhZ1lJAx9PtY6,spotify:track:1fzAuUVbzlhZ1lJAx9PtY6,0.808,0.557,0.496,0.000173,0.0772,-9.602,0.0563,149.983,0.265,78,293453</t>
  </si>
  <si>
    <t>341,...Ready For It?,reputation,2017-11-10,1,2yLa0QULdQr0qAIvVwN6B5,spotify:track:2yLa0QULdQr0qAIvVwN6B5,0.0527,0.613,0.764,0.0,0.197,-6.509,0.136,160.015,0.417,82,208186</t>
  </si>
  <si>
    <t>342,End Game,reputation,2017-11-10,2,2x0WlnmfG39ZuDmstl9xfX,spotify:track:2x0WlnmfG39ZuDmstl9xfX,0.00845,0.649,0.589,0.0,0.108,-6.237,0.0558,159.073,0.151,74,244826</t>
  </si>
  <si>
    <t>343,I Did Something Bad,reputation,2017-11-10,3,4svZDCRz4cJoneBpjpx8DJ,spotify:track:4svZDCRz4cJoneBpjpx8DJ,0.0679,0.696,0.602,2.11e-05,0.0696,-6.156,0.159,82.989,0.305,75,238253</t>
  </si>
  <si>
    <t>344,Don’t Blame Me,reputation,2017-11-10,4,1R0a2iXumgCiFb7HEZ7gUE,spotify:track:1R0a2iXumgCiFb7HEZ7gUE,0.106,0.615,0.534,1.76e-05,0.0607,-6.719,0.0386,135.917,0.193,85,236413</t>
  </si>
  <si>
    <t>345,Delicate,reputation,2017-11-10,5,6NFyWDv5CjfwuzoCkw47Xf,spotify:track:6NFyWDv5CjfwuzoCkw47Xf,0.216,0.75,0.404,0.000357,0.0911,-10.178,0.0682,95.045,0.0499,81,232253</t>
  </si>
  <si>
    <t>346,Look What You Made Me Do,reputation,2017-11-10,6,1P17dC1amhFzptugyAO7Il,spotify:track:1P17dC1amhFzptugyAO7Il,0.204,0.766,0.709,1.41e-05,0.126,-6.471,0.123,128.07,0.506,81,211853</t>
  </si>
  <si>
    <t>347,So It Goes...,reputation,2017-11-10,7,5PxFv9yJEg9dxvbZggykro,spotify:track:5PxFv9yJEg9dxvbZggykro,0.122,0.574,0.61,1.1e-06,0.13,-7.283,0.0732,74.957,0.374,69,227906</t>
  </si>
  <si>
    <t>348,Gorgeous,reputation,2017-11-10,8,1ZY1PqizIl78geGM4xWlEA,spotify:track:1ZY1PqizIl78geGM4xWlEA,0.0713,0.8,0.535,9.48e-06,0.213,-6.684,0.135,92.027,0.451,76,209680</t>
  </si>
  <si>
    <t>349,Getaway Car,reputation,2017-11-10,9,0VE4kBnHJUgtMf0dy6DRmW,spotify:track:0VE4kBnHJUgtMf0dy6DRmW,0.00465,0.562,0.689,2.23e-06,0.0888,-6.745,0.127,172.054,0.351,79,233626</t>
  </si>
  <si>
    <t>350,King Of My Heart,reputation,2017-11-10,10,7HuBDWi18s4aJM8UFnNheH,spotify:track:7HuBDWi18s4aJM8UFnNheH,0.00882,0.675,0.703,2.21e-06,0.0391,-7.902,0.0382,110.01,0.314,72,214320</t>
  </si>
  <si>
    <t>351,Dancing With Our Hands Tied,reputation,2017-11-10,11,7I7JbDv63ZJJsSi24DyJrz,spotify:track:7I7JbDv63ZJJsSi24DyJrz,0.0604,0.624,0.691,1.1e-05,0.138,-6.686,0.196,160.024,0.284,72,211506</t>
  </si>
  <si>
    <t>352,Dress,reputation,2017-11-10,12,6oVxXO5oQ4pTpO8RSnkzvv,spotify:track:6oVxXO5oQ4pTpO8RSnkzvv,0.0329,0.719,0.469,0.0,0.169,-8.792,0.0533,120.085,0.0851,75,230373</t>
  </si>
  <si>
    <t>353,This Is Why We Can't Have Nice Things,reputation,2017-11-10,13,07NxDD1iKCHbAldceD7QLP,spotify:track:07NxDD1iKCHbAldceD7QLP,0.0156,0.567,0.789,0.0,0.382,-5.986,0.115,163.96,0.438,70,207133</t>
  </si>
  <si>
    <t>354,Call It What You Want,reputation,2017-11-10,14,1GwMQaZz6Au3QLDbjbMdme,spotify:track:1GwMQaZz6Au3QLDbjbMdme,0.186,0.598,0.504,0.000221,0.34,-9.874,0.0731,163.954,0.252,75,203506</t>
  </si>
  <si>
    <t>355,New Year’s Day,reputation,2017-11-10,15,7F5oktn5YOsR9eR5YsFtqb,spotify:track:7F5oktn5YOsR9eR5YsFtqb,0.921,0.661,0.151,0.0,0.13,-12.864,0.0354,94.922,0.23,70,235466</t>
  </si>
  <si>
    <t>356,All Too Well,reputation Stadium Tour Surprise Song Playlist,2017-11-09,1,00vJzaoxM3Eja1doBUhX0P,spotify:track:00vJzaoxM3Eja1doBUhX0P,0.0448,0.463,0.605,0.000334,0.128,-7.803,0.0293,186.113,0.317,35,329160</t>
  </si>
  <si>
    <t>357,Wildest Dreams,reputation Stadium Tour Surprise Song Playlist,2017-11-09,2,22C0JIVhFaczZ4t9heqREN,spotify:track:22C0JIVhFaczZ4t9heqREN,0.0703,0.55,0.688,0.00138,0.106,-7.416,0.0904,139.998,0.461,38,220440</t>
  </si>
  <si>
    <t>358,The Best Day,reputation Stadium Tour Surprise Song Playlist,2017-11-09,3,7APTsjmZbj7TFXQJAiRti4,spotify:track:7APTsjmZbj7TFXQJAiRti4,0.638,0.668,0.448,4.1e-06,0.158,-8.567,0.0285,126.066,0.386,30,246306</t>
  </si>
  <si>
    <t>359,Red,reputation Stadium Tour Surprise Song Playlist,2017-11-09,4,4V9NuhKQcUFt4cgbynHV79,spotify:track:4V9NuhKQcUFt4cgbynHV79,0.0779,0.605,0.899,0.000124,0.0911,-4.273,0.0423,124.982,0.647,33,223093</t>
  </si>
  <si>
    <t>360,Holy Ground,reputation Stadium Tour Surprise Song Playlist,2017-11-09,5,4hCZk6WJBFQeG3P7WsyntI,spotify:track:4hCZk6WJBFQeG3P7WsyntI,0.0159,0.627,0.816,0.0022,0.0965,-6.698,0.0774,157.043,0.648,29,202960</t>
  </si>
  <si>
    <t>361,Teardrops On My Guitar - Radio Single Remix,reputation Stadium Tour Surprise Song Playlist,2017-11-09,6,7eGeUVeCEvEQrivmjl9Qn3,spotify:track:7eGeUVeCEvEQrivmjl9Qn3,0.315,0.626,0.427,0.0,0.138,-6.993,0.0234,99.962,0.265,32,204706</t>
  </si>
  <si>
    <t>362,Our Song,reputation Stadium Tour Surprise Song Playlist,2017-11-09,7,7qGr3rjRhndRIpFUA5f2HJ,spotify:track:7qGr3rjRhndRIpFUA5f2HJ,0.114,0.545,0.663,0.0,0.321,-5.05,0.0363,178.016,0.565,36,203440</t>
  </si>
  <si>
    <t>363,22,reputation Stadium Tour Surprise Song Playlist,2017-11-09,8,2P5gfMtCcKP0CkmgqFMyPg,spotify:track:2P5gfMtCcKP0CkmgqFMyPg,0.00254,0.66,0.732,0.00146,0.0473,-6.565,0.0379,104.009,0.677,35,232120</t>
  </si>
  <si>
    <t>364,I Knew You Were Trouble.,reputation Stadium Tour Surprise Song Playlist,2017-11-09,9,2o2IVjuqRkR9hJxtPjtAP0,spotify:track:2o2IVjuqRkR9hJxtPjtAP0,0.00476,0.536,0.464,2.74e-06,0.0358,-6.761,0.0412,77.318,0.666,36,219720</t>
  </si>
  <si>
    <t>365,I Don’t Wanna Live Forever (Fifty Shades Darker),reputation Stadium Tour Surprise Song Playlist,2017-11-09,10,55n9yjI6qqXh5F2mYvUc2y,spotify:track:55n9yjI6qqXh5F2mYvUc2y,0.059,0.73,0.444,1.8e-05,0.14,-8.418,0.0538,117.979,0.106,79,247160</t>
  </si>
  <si>
    <t>366,Mean,reputation Stadium Tour Surprise Song Playlist,2017-11-09,11,5rcHBt2aNcGFWW0jaAUe1L,spotify:track:5rcHBt2aNcGFWW0jaAUe1L,0.449,0.576,0.755,0.0,0.223,-3.982,0.0427,163.884,0.791,32,238693</t>
  </si>
  <si>
    <t>367,How You Get The Girl,reputation Stadium Tour Surprise Song Playlist,2017-11-09,12,3aSYZ4upQ6OSNos26YeVWL,spotify:track:3aSYZ4upQ6OSNos26YeVWL,0.00363,0.764,0.657,0.00899,0.0918,-6.112,0.0503,119.995,0.546,31,247533</t>
  </si>
  <si>
    <t>368,So It Goes...,reputation Stadium Tour Surprise Song Playlist,2017-11-09,13,41T04yafZVrjNq2FqvLtId,spotify:track:41T04yafZVrjNq2FqvLtId,0.122,0.578,0.61,1.1e-06,0.13,-7.283,0.0676,74.996,0.371,54,227906</t>
  </si>
  <si>
    <t>369,Fifteen,reputation Stadium Tour Surprise Song Playlist,2017-11-09,14,0H2UD0LfSCiRr59YMGlCuS,spotify:track:0H2UD0LfSCiRr59YMGlCuS,0.07,0.549,0.63,0.0,0.138,-4.436,0.027,95.124,0.217,29,295320</t>
  </si>
  <si>
    <t>370,Mine,reputation Stadium Tour Surprise Song Playlist,2017-11-09,15,6FmJKLpyCt42nP2IOVEVc2,spotify:track:6FmJKLpyCt42nP2IOVEVc2,0.00311,0.622,0.781,3.1e-06,0.187,-2.945,0.0302,121.029,0.662,37,231866</t>
  </si>
  <si>
    <t>371,Sparks Fly,reputation Stadium Tour Surprise Song Playlist,2017-11-09,16,5h2sBwpUSAndjObfU3ti2r,spotify:track:5h2sBwpUSAndjObfU3ti2r,0.041,0.61,0.782,0.0,0.16,-2.98,0.0309,114.974,0.399,31,262920</t>
  </si>
  <si>
    <t>372,State Of Grace,reputation Stadium Tour Surprise Song Playlist,2017-11-09,17,0YRGTdfmJPALpglAaraYUr,spotify:track:0YRGTdfmJPALpglAaraYUr,0.000182,0.591,0.828,0.00115,0.0879,-5.895,0.0333,129.958,0.383,28,295720</t>
  </si>
  <si>
    <t>373,Haunted,reputation Stadium Tour Surprise Song Playlist,2017-11-09,18,6CB7DczrX9ZJB9Wkjegmaq,spotify:track:6CB7DczrX9ZJB9Wkjegmaq,0.0655,0.43,0.948,0.0,0.0612,-2.622,0.0605,162.026,0.371,30,245413</t>
  </si>
  <si>
    <t>374,Never Grow Up,reputation Stadium Tour Surprise Song Playlist,2017-11-09,19,1UPDfqsVIZLEiZeMuUsni2,spotify:track:1UPDfqsVIZLEiZeMuUsni2,0.824,0.714,0.309,0.0,0.136,-8.828,0.0302,124.892,0.546,28,292920</t>
  </si>
  <si>
    <t>375,Treacherous,reputation Stadium Tour Surprise Song Playlist,2017-11-09,20,0r3U7SOcoj4DIEyN44Lt5z,spotify:track:0r3U7SOcoj4DIEyN44Lt5z,0.101,0.704,0.621,4.3e-06,0.14,-8.086,0.0334,109.996,0.395,27,242760</t>
  </si>
  <si>
    <t>376,Babe,reputation Stadium Tour Surprise Song Playlist,2017-11-09,21,40PXEOFLJc7UIpLMrhSfW1,spotify:track:40PXEOFLJc7UIpLMrhSfW1,0.0221,0.577,0.785,0.0,0.125,-3.266,0.102,171.78,0.647,29,215106</t>
  </si>
  <si>
    <t>377,Welcome To New York,reputation Stadium Tour Surprise Song Playlist,2017-11-09,22,3YLA3NgzFRRa7LiHMtFPby,spotify:track:3YLA3NgzFRRa7LiHMtFPby,0.0348,0.789,0.634,1.69e-06,0.302,-4.762,0.0323,117.0,0.658,31,212600</t>
  </si>
  <si>
    <t>378,Fearless,reputation Stadium Tour Surprise Song Playlist,2017-11-09,23,43sE2O3skbGBpT2tO6fzv9,spotify:track:43sE2O3skbGBpT2tO6fzv9,0.0381,0.603,0.717,0.0,0.307,-4.401,0.0272,100.163,0.429,29,242973</t>
  </si>
  <si>
    <t>379,Enchanted,reputation Stadium Tour Surprise Song Playlist,2017-11-09,24,5lg33MHs1BoUtJVClw8ZpI,spotify:track:5lg33MHs1BoUtJVClw8ZpI,0.0707,0.536,0.629,0.00117,0.158,-3.907,0.0275,81.963,0.222,40,353253</t>
  </si>
  <si>
    <t>380,Change,reputation Stadium Tour Surprise Song Playlist,2017-11-09,25,5PSOWHll3h3Vy226xSJk0M,spotify:track:5PSOWHll3h3Vy226xSJk0M,0.00418,0.543,0.764,0.0,0.111,-4.206,0.0377,95.999,0.233,26,281053</t>
  </si>
  <si>
    <t>381,Ours,reputation Stadium Tour Surprise Song Playlist,2017-11-09,26,0V3SNHDka1JSCP71HAzpxw,spotify:track:0V3SNHDka1JSCP71HAzpxw,0.469,0.609,0.56,0.0,0.087,-7.392,0.0279,159.838,0.228,30,239346</t>
  </si>
  <si>
    <t>382,Out Of The Woods,reputation Stadium Tour Surprise Song Playlist,2017-11-09,27,0GmfiNHSgkKamYgQEMYOH3,spotify:track:0GmfiNHSgkKamYgQEMYOH3,0.000743,0.553,0.841,1.07e-05,0.341,-6.937,0.0397,91.999,0.339,32,235800</t>
  </si>
  <si>
    <t>383,Come Back...Be Here,reputation Stadium Tour Surprise Song Playlist,2017-11-09,28,5hiqtrACtMJkNpaNHj0n9Z,spotify:track:5hiqtrACtMJkNpaNHj0n9Z,0.00471,0.486,0.548,2.06e-06,0.0997,-6.291,0.0256,79.873,0.22,28,223920</t>
  </si>
  <si>
    <t>384,A Place in this World,reputation Stadium Tour Surprise Song Playlist,2017-11-09,29,2RSYYe7LhKFxIi50T5XtUo,spotify:track:2RSYYe7LhKFxIi50T5XtUo,0.0576,0.573,0.767,0.0,0.327,-2.929,0.0323,114.985,0.438,27,202080</t>
  </si>
  <si>
    <t>385,This Love,reputation Stadium Tour Surprise Song Playlist,2017-11-09,30,64KRxmbqypPBlya4nxFmDn,spotify:track:64KRxmbqypPBlya4nxFmDn,0.679,0.48,0.435,0.0,0.0928,-8.795,0.0319,143.942,0.108,28,250093</t>
  </si>
  <si>
    <t>386,The Lucky One,reputation Stadium Tour Surprise Song Playlist,2017-11-09,31,24ksPWXKg1k7OOG57pufED,spotify:track:24ksPWXKg1k7OOG57pufED,0.0352,0.706,0.505,0.0,0.13,-7.639,0.0358,117.935,0.561,26,240266</t>
  </si>
  <si>
    <t>387,Invisible,reputation Stadium Tour Surprise Song Playlist,2017-11-09,32,0kqC185OTcnuhbz4T7g5RB,spotify:track:0kqC185OTcnuhbz4T7g5RB,0.56,0.608,0.384,0.0,0.165,-5.732,0.0246,95.963,0.217,27,205853</t>
  </si>
  <si>
    <t>388,Breathe,reputation Stadium Tour Surprise Song Playlist,2017-11-09,33,3oxgFdIlxFEDEJqn7k5TVN,spotify:track:3oxgFdIlxFEDEJqn7k5TVN,0.416,0.442,0.48,0.0,0.129,-7.405,0.0281,73.849,0.167,31,264946</t>
  </si>
  <si>
    <t>389,Better Man,reputation Stadium Tour Surprise Song Playlist,2017-11-09,34,3EXetjrGgwIjDRNn6YA8sa,spotify:track:3EXetjrGgwIjDRNn6YA8sa,0.121,0.503,0.844,0.0,0.0974,-3.648,0.0379,143.941,0.508,30,263613</t>
  </si>
  <si>
    <t>390,Jump Then Fall,reputation Stadium Tour Surprise Song Playlist,2017-11-09,35,5zytSTR2g0I9psX2Z12ex6,spotify:track:5zytSTR2g0I9psX2Z12ex6,0.113,0.617,0.699,0.0,0.074,-5.712,0.0271,79.979,0.827,26,238093</t>
  </si>
  <si>
    <t>391,Begin Again,reputation Stadium Tour Surprise Song Playlist,2017-11-09,36,2G679wnKfyhUOeNx910OXg,spotify:track:2G679wnKfyhUOeNx910OXg,0.197,0.516,0.526,3.49e-06,0.14,-8.349,0.0269,78.985,0.312,27,239426</t>
  </si>
  <si>
    <t>392,Tied Together with a Smile,reputation Stadium Tour Surprise Song Playlist,2017-11-09,37,4qNEi8zGIYLiMtoW8OaJdx,spotify:track:4qNEi8zGIYLiMtoW8OaJdx,0.523,0.478,0.547,0.0,0.0728,-4.948,0.0275,146.134,0.238,27,251213</t>
  </si>
  <si>
    <t>393,The Story Of Us,reputation Stadium Tour Surprise Song Playlist,2017-11-09,38,2fF3QzbGCrtrDXIdWcg1mv,spotify:track:2fF3QzbGCrtrDXIdWcg1mv,0.00556,0.547,0.807,0.000318,0.0588,-3.63,0.0398,139.911,0.645,28,267653</t>
  </si>
  <si>
    <t>394,Forever &amp; Always,reputation Stadium Tour Surprise Song Playlist,2017-11-09,39,0QCS4NpURHvWdF1icdkfBw,spotify:track:0QCS4NpURHvWdF1icdkfBw,0.0805,0.607,0.829,0.0,0.207,-5.02,0.0587,128.055,0.521,26,226293</t>
  </si>
  <si>
    <t>395,Hey Stephen,reputation Stadium Tour Surprise Song Playlist,2017-11-09,40,0TYJbIHBtmWy9ugtU9BcbE,spotify:track:0TYJbIHBtmWy9ugtU9BcbE,0.191,0.843,0.541,1.93e-06,0.108,-7.361,0.0318,116.002,0.839,26,256040</t>
  </si>
  <si>
    <t>396,Speak Now,reputation Stadium Tour Surprise Song Playlist,2017-11-09,41,1XLc4irbX7oQSneh6gWv3O,spotify:track:1XLc4irbX7oQSneh6gWv3O,0.0991,0.712,0.603,0.0,0.102,-3.753,0.0304,118.979,0.714,28,243346</t>
  </si>
  <si>
    <t>397,Wonderland,reputation Stadium Tour Surprise Song Playlist,2017-11-09,42,0eTCaVOYLpJlSkbEi2jay4,spotify:track:0eTCaVOYLpJlSkbEi2jay4,0.0493,0.422,0.692,2.57e-05,0.177,-5.447,0.0549,184.019,0.197,30,245560</t>
  </si>
  <si>
    <t>398,White Horse,reputation Stadium Tour Surprise Song Playlist,2017-11-09,43,4RMfSYDFkcz0bKoK8fHDgR,spotify:track:4RMfSYDFkcz0bKoK8fHDgR,0.311,0.578,0.348,0.0,0.1,-8.066,0.0257,92.671,0.218,28,235400</t>
  </si>
  <si>
    <t>399,I'm Only Me When I'm With You,reputation Stadium Tour Surprise Song Playlist,2017-11-09,44,6Py8IKZqDyU8aQVrjilbJw,spotify:track:6Py8IKZqDyU8aQVrjilbJw,0.00454,0.556,0.933,0.000462,0.101,-3.685,0.0719,143.929,0.521,28,215600</t>
  </si>
  <si>
    <t>400,Starlight,reputation Stadium Tour Surprise Song Playlist,2017-11-09,45,7txpzmA69zyk50K3ZyZSzC,spotify:track:7txpzmA69zyk50K3ZyZSzC,0.0186,0.649,0.779,0.000474,0.234,-5.798,0.0391,126.014,0.617,27,220600</t>
  </si>
  <si>
    <t>401,I Know Places,reputation Stadium Tour Surprise Song Playlist,2017-11-09,46,3qGLcmO0XnnrcpAQGZwTvA,spotify:track:3qGLcmO0XnnrcpAQGZwTvA,0.243,0.603,0.755,0.0,0.178,-4.991,0.0709,159.971,0.496,28,195706</t>
  </si>
  <si>
    <t>402,Welcome To New York,1989 (Deluxe),2014-01-01,1,3nRmDz7qGCvsMS30rGGY0x,spotify:track:3nRmDz7qGCvsMS30rGGY0x,0.0348,0.789,0.634,1.64e-06,0.302,-4.762,0.0323,116.992,0.658,48,212600</t>
  </si>
  <si>
    <t>403,Blank Space,1989 (Deluxe),2014-01-01,2,1u8c2t2Cy7UBoG4ArRcF5g,spotify:track:1u8c2t2Cy7UBoG4ArRcF5g,0.103,0.76,0.703,0.0,0.0913,-5.412,0.054,95.997,0.57,81,231826</t>
  </si>
  <si>
    <t>404,Style,1989 (Deluxe),2014-01-01,3,0ug5NqcwcFR2xrfTkc7k8e,spotify:track:0ug5NqcwcFR2xrfTkc7k8e,0.00245,0.588,0.791,0.00258,0.118,-5.595,0.0402,94.933,0.487,79,231000</t>
  </si>
  <si>
    <t>405,Out Of The Woods,1989 (Deluxe),2014-01-01,4,0qUnBLZ8bJqUNEeQgayL9t,spotify:track:0qUnBLZ8bJqUNEeQgayL9t,0.000743,0.553,0.841,1.19e-05,0.341,-6.937,0.0396,92.008,0.338,59,235800</t>
  </si>
  <si>
    <t>406,All You Had To Do Was Stay,1989 (Deluxe),2014-01-01,5,6aLOekfwbytwWvQftxTEF0,spotify:track:6aLOekfwbytwWvQftxTEF0,0.00201,0.605,0.725,2.02e-05,0.101,-5.729,0.0323,96.97,0.539,47,193293</t>
  </si>
  <si>
    <t>407,Shake It Off,1989 (Deluxe),2014-01-01,6,0cqRj7pUJDkTCEsJkx8snD,spotify:track:0cqRj7pUJDkTCEsJkx8snD,0.0647,0.647,0.8,0.0,0.334,-5.384,0.165,160.078,0.942,80,219200</t>
  </si>
  <si>
    <t>408,I Wish You Would,1989 (Deluxe),2014-01-01,7,5gRYrtvyVyaCRvLt56OfuV,spotify:track:5gRYrtvyVyaCRvLt56OfuV,0.0158,0.653,0.893,4.95e-05,0.102,-5.966,0.0538,118.035,0.513,51,207440</t>
  </si>
  <si>
    <t>409,Bad Blood,1989 (Deluxe),2014-01-01,8,2NlmmAjGYrrjAp0MED5rGx,spotify:track:2NlmmAjGYrrjAp0MED5rGx,0.0885,0.646,0.794,6.16e-06,0.201,-6.104,0.19,170.216,0.287,52,211933</t>
  </si>
  <si>
    <t>410,Wildest Dreams,1989 (Deluxe),2014-01-01,9,4A4A6dwl5DqdqrZaEtKGPR,spotify:track:4A4A6dwl5DqdqrZaEtKGPR,0.0692,0.55,0.688,0.00144,0.106,-7.416,0.0897,139.997,0.465,52,220440</t>
  </si>
  <si>
    <t>411,How You Get The Girl,1989 (Deluxe),2014-01-01,10,0fM9dEhUFV4MHDuJgrcfOv,spotify:track:0fM9dEhUFV4MHDuJgrcfOv,0.00364,0.765,0.656,0.00868,0.0918,-6.112,0.0504,119.997,0.545,55,247533</t>
  </si>
  <si>
    <t>412,This Love,1989 (Deluxe),2014-01-01,11,4L560fic5PaTuCFm6CviKa,spotify:track:4L560fic5PaTuCFm6CviKa,0.678,0.481,0.435,0.0,0.0928,-8.795,0.0321,143.95,0.107,50,250093</t>
  </si>
  <si>
    <t>413,I Know Places,1989 (Deluxe),2014-01-01,12,6EwNJz8CuVsrsLvXprJ20Q,spotify:track:6EwNJz8CuVsrsLvXprJ20Q,0.245,0.602,0.755,0.0,0.178,-4.991,0.071,159.965,0.495,50,195706</t>
  </si>
  <si>
    <t>414,Clean,1989 (Deluxe),2014-01-01,13,1NmVZsG18CzCAtw7rnV3yA,spotify:track:1NmVZsG18CzCAtw7rnV3yA,0.232,0.815,0.377,0.0,0.1,-7.754,0.0346,103.97,0.211,55,271000</t>
  </si>
  <si>
    <t>415,Wonderland,1989 (Deluxe),2014-01-01,14,6RvRzl1YJTDnUvdOtV21IK,spotify:track:6RvRzl1YJTDnUvdOtV21IK,0.0493,0.422,0.692,2.57e-05,0.177,-5.447,0.0549,184.014,0.197,55,245560</t>
  </si>
  <si>
    <t>416,You Are In Love,1989 (Deluxe),2014-01-01,15,2KrOAg6FftbjgSKdd2a4rS,spotify:track:2KrOAg6FftbjgSKdd2a4rS,0.707,0.474,0.48,0.000108,0.0903,-8.894,0.0622,170.109,0.319,55,267106</t>
  </si>
  <si>
    <t>417,New Romantics,1989 (Deluxe),2014-01-01,16,0qAIiGFKLdV1xpNlEhjpq8,spotify:track:0qAIiGFKLdV1xpNlEhjpq8,0.00463,0.633,0.889,0.000458,0.0658,-5.87,0.0715,121.956,0.584,62,230466</t>
  </si>
  <si>
    <t>418,I Know Places - Voice Memo,1989 (Deluxe),2014-01-01,17,4FoV729rw7IhoKlMZW5K5V,spotify:track:4FoV729rw7IhoKlMZW5K5V,0.829,0.592,0.128,0.0,0.527,-17.932,0.589,78.828,0.15,0,216333</t>
  </si>
  <si>
    <t>419,I Wish You Would - Voice Memo,1989 (Deluxe),2014-01-01,18,4eTXfpHxhxVofrBUjAhPMg,spotify:track:4eTXfpHxhxVofrBUjAhPMg,0.717,0.781,0.357,0.0,0.185,-16.394,0.912,118.317,0.645,0,107133</t>
  </si>
  <si>
    <t>420,Blank Space - Voice Memo,1989 (Deluxe),2014-01-01,19,4e6QU4gpfZj9xxcK856RgG,spotify:track:4e6QU4gpfZj9xxcK856RgG,0.801,0.675,0.234,0.0,0.657,-15.064,0.721,127.296,0.578,0,131186</t>
  </si>
  <si>
    <t>421,Welcome To New York,1989,2014-01-01,1,10nqz67NQWWa7XPq7ycihi,spotify:track:10nqz67NQWWa7XPq7ycihi,0.038,0.793,0.634,1.76e-06,0.304,-4.807,0.0324,117.023,0.615,59,212600</t>
  </si>
  <si>
    <t>422,Blank Space,1989,2014-01-01,2,2ls70nUDfjzm1lSRDuKxmw,spotify:track:2ls70nUDfjzm1lSRDuKxmw,0.085,0.752,0.678,1.64e-06,0.13,-5.421,0.0646,96.009,0.583,60,231826</t>
  </si>
  <si>
    <t>423,Style,1989,2014-01-01,3,71PmZqBXH0RUETqxpwlV0w,spotify:track:71PmZqBXH0RUETqxpwlV0w,0.00256,0.598,0.786,0.00143,0.117,-5.572,0.0382,95.021,0.456,56,231000</t>
  </si>
  <si>
    <t>424,Out Of The Woods,1989,2014-01-01,4,7EpVQjqtKygiwJIASxMWNg,spotify:track:7EpVQjqtKygiwJIASxMWNg,0.00103,0.552,0.841,1.23e-05,0.337,-6.938,0.0372,91.993,0.342,46,235800</t>
  </si>
  <si>
    <t>425,All You Had To Do Was Stay,1989,2014-01-01,5,4NNolUeL5m2ju7kf8pdg6H,spotify:track:4NNolUeL5m2ju7kf8pdg6H,0.00196,0.602,0.735,4.77e-05,0.105,-5.778,0.0337,96.969,0.472,53,193293</t>
  </si>
  <si>
    <t>426,Shake It Off,1989,2014-01-01,6,1kKlhuQE0HXp1IwBRpaH2P,spotify:track:1kKlhuQE0HXp1IwBRpaH2P,0.0561,0.648,0.785,0.0,0.148,-5.414,0.165,160.02,0.943,53,219200</t>
  </si>
  <si>
    <t>427,I Wish You Would,1989,2014-01-01,7,5RVJ6VKfwtosA5Q1qeHdjF,spotify:track:5RVJ6VKfwtosA5Q1qeHdjF,0.016,0.649,0.898,9.9e-05,0.109,-5.963,0.0511,118.027,0.503,42,207440</t>
  </si>
  <si>
    <t>428,Bad Blood,1989,2014-01-01,8,0TvQLMecTE8utzoNmvXRbK,spotify:track:0TvQLMecTE8utzoNmvXRbK,0.0871,0.652,0.802,6.45e-06,0.148,-6.114,0.181,170.157,0.295,71,211933</t>
  </si>
  <si>
    <t>429,Wildest Dreams,1989,2014-01-01,9,3fVnlF4pGqWI9flVENcT28,spotify:track:3fVnlF4pGqWI9flVENcT28,0.0709,0.553,0.664,0.0056,0.106,-7.417,0.0741,140.06,0.467,75,220440</t>
  </si>
  <si>
    <t>430,How You Get The Girl,1989,2014-01-01,10,5Z9ocF6ng0m2haHnKtHwTp,spotify:track:5Z9ocF6ng0m2haHnKtHwTp,0.00463,0.764,0.659,0.00458,0.0915,-6.136,0.0492,119.982,0.525,43,247533</t>
  </si>
  <si>
    <t>431,This Love,1989,2014-01-01,11,7lTxQZVXlvIX7Z3szSy8Sh,spotify:track:7lTxQZVXlvIX7Z3szSy8Sh,0.635,0.485,0.459,0.0,0.101,-8.768,0.0337,71.981,0.0858,42,250093</t>
  </si>
  <si>
    <t>432,I Know Places,1989,2014-01-01,12,6Ck9WerfsyvC4v4AylUoDp,spotify:track:6Ck9WerfsyvC4v4AylUoDp,0.231,0.595,0.763,0.0,0.2,-4.991,0.0661,159.959,0.507,43,195706</t>
  </si>
  <si>
    <t>433,Clean,1989,2014-01-01,13,2k43eySbfpDVx0PrO99UI8,spotify:track:2k43eySbfpDVx0PrO99UI8,0.242,0.81,0.38,0.0,0.113,-7.755,0.035,103.981,0.211,42,271000</t>
  </si>
  <si>
    <t>434,State Of Grace,Red (Deluxe Edition),2012-10-22,1,0b16LTzby1YRVd2nq2Z0fw,spotify:track:0b16LTzby1YRVd2nq2Z0fw,0.000197,0.588,0.825,0.00138,0.0884,-5.882,0.0328,129.968,0.397,43,295720</t>
  </si>
  <si>
    <t>435,Red,Red (Deluxe Edition),2012-10-22,2,7gJtmLyPTwKzhGzMBXtuXH,spotify:track:7gJtmLyPTwKzhGzMBXtuXH,0.0773,0.602,0.896,8.87e-05,0.0911,-4.267,0.0437,124.978,0.641,54,223093</t>
  </si>
  <si>
    <t>436,Treacherous,Red (Deluxe Edition),2012-10-22,3,7nECwCDHS1JvQbrmuorZIH,spotify:track:7nECwCDHS1JvQbrmuorZIH,0.101,0.704,0.621,4.3e-06,0.14,-8.086,0.0334,109.995,0.395,41,242760</t>
  </si>
  <si>
    <t>437,I Knew You Were Trouble.,Red (Deluxe Edition),2012-10-22,4,3lKZf71jeNi14udIFPJ29V,spotify:track:3lKZf71jeNi14udIFPJ29V,0.00454,0.622,0.469,2.25e-06,0.0335,-6.798,0.0363,77.019,0.679,59,219720</t>
  </si>
  <si>
    <t>438,All Too Well,Red (Deluxe Edition),2012-10-22,5,6GNRkaWUB0Lwc19SdkTgx8,spotify:track:6GNRkaWUB0Lwc19SdkTgx8,0.0382,0.602,0.609,0.0002,0.128,-7.803,0.0243,93.06,0.337,59,329160</t>
  </si>
  <si>
    <t>439,22,Red (Deluxe Edition),2012-10-22,6,3WC5CVAahvn98hiseoIvbw,spotify:track:3WC5CVAahvn98hiseoIvbw,0.00215,0.661,0.729,0.0013,0.0477,-6.561,0.0376,103.987,0.668,59,232120</t>
  </si>
  <si>
    <t>440,I Almost Do,Red (Deluxe Edition),2012-10-22,7,1eyqSYBCTane4rl4vc6PWJ,spotify:track:1eyqSYBCTane4rl4vc6PWJ,0.0173,0.567,0.481,4.13e-05,0.182,-7.357,0.027,145.865,0.233,43,244560</t>
  </si>
  <si>
    <t>441,We Are Never Ever Getting Back Together,Red (Deluxe Edition),2012-10-22,8,6kISMRfweKSvgHR0urMQFG,spotify:track:6kISMRfweKSvgHR0urMQFG,0.00957,0.628,0.676,2.65e-05,0.121,-5.911,0.0916,85.984,0.75,59,193146</t>
  </si>
  <si>
    <t>442,Stay Stay Stay,Red (Deluxe Edition),2012-10-22,9,0F2S1QlnMaOfmNHIgmES3k,spotify:track:0F2S1QlnMaOfmNHIgmES3k,0.307,0.729,0.748,1.29e-06,0.0962,-6.67,0.0245,99.981,0.928,43,205853</t>
  </si>
  <si>
    <t>443,The Last Time,Red (Deluxe Edition),2012-10-22,10,2Tz4JnXZOcjcp8fWfMjBBk,spotify:track:2Tz4JnXZOcjcp8fWfMjBBk,0.035,0.505,0.443,3.15e-06,0.0906,-7.039,0.0276,94.069,0.123,45,299013</t>
  </si>
  <si>
    <t>444,Holy Ground,Red (Deluxe Edition),2012-10-22,11,3KmYVOuK2eG7LGP7qQ8DLR,spotify:track:3KmYVOuK2eG7LGP7qQ8DLR,0.0162,0.627,0.816,0.00208,0.0965,-6.698,0.0774,157.043,0.648,41,202960</t>
  </si>
  <si>
    <t>445,Sad Beautiful Tragic,Red (Deluxe Edition),2012-10-22,12,70e9zuv2pJc7ON1OUAJ1zl,spotify:track:70e9zuv2pJc7ON1OUAJ1zl,0.632,0.624,0.34,0.0337,0.0805,-12.411,0.029,129.987,0.261,40,284866</t>
  </si>
  <si>
    <t>446,The Lucky One,Red (Deluxe Edition),2012-10-22,13,5VQLMrWhailAhErKNUSnv1,spotify:track:5VQLMrWhailAhErKNUSnv1,0.0371,0.706,0.499,0.0,0.132,-7.675,0.0369,117.937,0.545,40,240266</t>
  </si>
  <si>
    <t>447,Everything Has Changed,Red (Deluxe Edition),2012-10-22,14,5PjfMmF06QtxTPZBZHdhoZ,spotify:track:5PjfMmF06QtxTPZBZHdhoZ,0.36,0.624,0.458,3.89e-06,0.311,-6.755,0.0287,80.016,0.436,52,245413</t>
  </si>
  <si>
    <t>448,Starlight,Red (Deluxe Edition),2012-10-22,15,1gL4vMhDV3RgJQmDuY5HK1,spotify:track:1gL4vMhDV3RgJQmDuY5HK1,0.0213,0.649,0.777,0.000335,0.21,-5.804,0.0406,126.018,0.587,41,220600</t>
  </si>
  <si>
    <t>449,Begin Again,Red (Deluxe Edition),2012-10-22,16,1yG491M3fRfowMdGN5pey4,spotify:track:1yG491M3fRfowMdGN5pey4,0.199,0.53,0.526,3.52e-06,0.14,-8.349,0.0263,79.025,0.323,45,239426</t>
  </si>
  <si>
    <t>450,The Moment I Knew,Red (Deluxe Edition),2012-10-22,17,4qTAwKJQ68gmnrnfPD3vlO,spotify:track:4qTAwKJQ68gmnrnfPD3vlO,0.187,0.619,0.506,1.47e-05,0.101,-7.327,0.0315,126.03,0.274,38,286613</t>
  </si>
  <si>
    <t>451,Come Back...Be Here,Red (Deluxe Edition),2012-10-22,18,1n8rB9AhxiAvVP1E2c3yOd,spotify:track:1n8rB9AhxiAvVP1E2c3yOd,0.00471,0.483,0.548,2.01e-06,0.0997,-6.291,0.0254,79.926,0.217,43,223920</t>
  </si>
  <si>
    <t>452,Girl At Home,Red (Deluxe Edition),2012-10-22,19,6VFpuI0DDmbC5UyWZQ4IRY,spotify:track:6VFpuI0DDmbC5UyWZQ4IRY,0.272,0.733,0.59,0.0,0.134,-5.86,0.0284,125.048,0.633,37,220840</t>
  </si>
  <si>
    <t>453,Treacherous - Original Demo Recording,Red (Deluxe Edition),2012-10-22,20,7skiELMb9SiQCcBpsExIJf,spotify:track:7skiELMb9SiQCcBpsExIJf,0.175,0.828,0.64,6.14e-05,0.0991,-8.248,0.0355,109.993,0.519,34,240266</t>
  </si>
  <si>
    <t>454,Red - Original Demo Recording,Red (Deluxe Edition),2012-10-22,21,2OghnlGqZZsFzHjG0CSE9l,spotify:track:2OghnlGqZZsFzHjG0CSE9l,0.113,0.678,0.902,0.000235,0.0705,-4.659,0.0358,124.998,0.637,36,227080</t>
  </si>
  <si>
    <t>455,State Of Grace - Acoustic,Red (Deluxe Edition),2012-10-22,22,5mfDBWY7ncZFm7ykmFTG4i,spotify:track:5mfDBWY7ncZFm7ykmFTG4i,0.664,0.626,0.118,0.000169,0.127,-15.91,0.0305,105.597,0.0682,37,323080</t>
  </si>
  <si>
    <t>456,State Of Grace,Red,2012-10-22,1,786NsUYn4GGUf8AOt0SQhP,spotify:track:786NsUYn4GGUf8AOt0SQhP,0.000197,0.588,0.825,0.00138,0.0885,-5.882,0.0328,129.968,0.397,40,295186</t>
  </si>
  <si>
    <t>457,Red,Red,2012-10-22,2,0cITLOYn1Sv4q27zZPqlNK,spotify:track:0cITLOYn1Sv4q27zZPqlNK,0.0773,0.602,0.896,8.87e-05,0.091,-4.267,0.0437,124.978,0.641,58,220826</t>
  </si>
  <si>
    <t>458,Treacherous,Red,2012-10-22,3,5kYFVSQoPu7yRpfiHBwMUk,spotify:track:5kYFVSQoPu7yRpfiHBwMUk,0.101,0.705,0.621,4.3e-06,0.147,-8.086,0.0334,109.993,0.395,38,240773</t>
  </si>
  <si>
    <t>459,I Knew You Were Trouble.,Red,2012-10-22,4,72jCZdH0Lhg93z6Z4hBjgj,spotify:track:72jCZdH0Lhg93z6Z4hBjgj,0.00454,0.622,0.469,2.25e-06,0.0398,-6.798,0.0363,77.019,0.679,61,217973</t>
  </si>
  <si>
    <t>460,All Too Well,Red,2012-10-22,5,4XMP3zVxrnr58T0tjIHvpR,spotify:track:4XMP3zVxrnr58T0tjIHvpR,0.0382,0.602,0.609,0.0002,0.127,-7.803,0.0243,93.06,0.337,44,327893</t>
  </si>
  <si>
    <t>461,22,Red,2012-10-22,6,2ULNeSomDxVNmdDy8VxEBU,spotify:track:2ULNeSomDxVNmdDy8VxEBU,0.00215,0.658,0.729,0.0013,0.0752,-6.561,0.0378,104.007,0.668,53,230133</t>
  </si>
  <si>
    <t>462,I Almost Do,Red,2012-10-22,7,5VwFkx7JOimOGTYfha5rs1,spotify:track:5VwFkx7JOimOGTYfha5rs1,0.0173,0.567,0.481,4.13e-05,0.182,-7.357,0.027,145.865,0.233,39,242573</t>
  </si>
  <si>
    <t>463,We Are Never Ever Getting Back Together,Red,2012-10-22,8,7AEAGTc8cReDqcbPoY9gwo,spotify:track:7AEAGTc8cReDqcbPoY9gwo,0.00957,0.628,0.676,2.65e-05,0.102,-5.911,0.0916,85.984,0.75,59,191880</t>
  </si>
  <si>
    <t>464,Stay Stay Stay,Red,2012-10-22,9,1qLeEu4iXEclkLwoBlMiou,spotify:track:1qLeEu4iXEclkLwoBlMiou,0.307,0.729,0.748,1.29e-06,0.09,-6.67,0.0245,99.981,0.928,39,204826</t>
  </si>
  <si>
    <t>465,The Last Time,Red,2012-10-22,10,3n9mzjgAzjyKawvbHzciXF,spotify:track:3n9mzjgAzjyKawvbHzciXF,0.035,0.505,0.443,3.15e-06,0.0921,-7.039,0.0276,94.069,0.123,38,298293</t>
  </si>
  <si>
    <t>466,Holy Ground,Red,2012-10-22,11,1fGsZsIkQkOspfsT24nQP6,spotify:track:1fGsZsIkQkOspfsT24nQP6,0.0162,0.627,0.816,0.00208,0.0966,-6.698,0.0774,157.043,0.648,37,201853</t>
  </si>
  <si>
    <t>467,Sad Beautiful Tragic,Red,2012-10-22,12,6LKjHhOW1az75pCQ9XJJtF,spotify:track:6LKjHhOW1az75pCQ9XJJtF,0.632,0.624,0.34,0.0337,0.121,-12.411,0.029,129.987,0.261,35,283680</t>
  </si>
  <si>
    <t>468,The Lucky One,Red,2012-10-22,13,2X2J0BhxaLTmnxO4pPUhSd,spotify:track:2X2J0BhxaLTmnxO4pPUhSd,0.0371,0.706,0.499,0.0,0.132,-7.675,0.0369,117.937,0.545,36,240133</t>
  </si>
  <si>
    <t>469,Everything Has Changed,Red,2012-10-22,14,4NAmRvqSITAAzKWnC8yRq3,spotify:track:4NAmRvqSITAAzKWnC8yRq3,0.36,0.624,0.458,3.89e-06,0.303,-6.755,0.0287,80.017,0.436,50,243933</t>
  </si>
  <si>
    <t>470,Starlight,Red,2012-10-22,15,7MecVsMj22MneZt7kVFaCr,spotify:track:7MecVsMj22MneZt7kVFaCr,0.0213,0.649,0.777,0.000335,0.221,-5.804,0.0406,126.018,0.587,37,217826</t>
  </si>
  <si>
    <t>471,Begin Again,Red,2012-10-22,16,0L4YCNRfXAoTvdpWeH2RGj,spotify:track:0L4YCNRfXAoTvdpWeH2RGj,0.199,0.53,0.526,3.52e-06,0.232,-8.349,0.0263,79.025,0.323,56,237613</t>
  </si>
  <si>
    <t>472,Sparks Fly - Live/2011,Speak Now World Tour Live,2010-10-25,1,1aBJNc2thaKyh5THWzIqHX,spotify:track:1aBJNc2thaKyh5THWzIqHX,0.00917,0.455,0.783,0.0,0.918,-5.184,0.0393,114.981,0.298,42,336826</t>
  </si>
  <si>
    <t>473,Mine - Live/2011,Speak Now World Tour Live,2010-10-25,2,7yndkPYP6YQQLBpPsizDfh,spotify:track:7yndkPYP6YQQLBpPsizDfh,0.00233,0.496,0.852,0.0,0.554,-4.775,0.0373,120.969,0.442,40,259279</t>
  </si>
  <si>
    <t>474,The Story Of Us - Live,Speak Now World Tour Live,2010-10-25,3,72GIZuUXo14oyrS0si3Rgc,spotify:track:72GIZuUXo14oyrS0si3Rgc,0.00048,0.419,0.908,0.0,0.815,-5.156,0.0651,139.813,0.472,40,290520</t>
  </si>
  <si>
    <t>475,Mean - Live/2011,Speak Now World Tour Live,2010-10-25,4,7mFiEij8AXPUZB7aKLbUlQ,spotify:track:7mFiEij8AXPUZB7aKLbUlQ,0.154,0.429,0.915,0.0,0.693,-4.373,0.069,163.752,0.432,40,246373</t>
  </si>
  <si>
    <t>476,Ours - Live/2011,Speak Now World Tour Live,2010-10-25,5,68QyrSzpnoU04AAhE5z8lj,spotify:track:68QyrSzpnoU04AAhE5z8lj,0.715,0.421,0.355,0.0,0.867,-10.21,0.0298,77.769,0.267,39,245973</t>
  </si>
  <si>
    <t>477,Back To December/Apologize/You're Not Sorry - Live/2011/Medley,Speak Now World Tour Live,2010-10-25,6,1IsquhJFJ0qcFZI7FeAEuN,spotify:track:1IsquhJFJ0qcFZI7FeAEuN,0.155,0.374,0.516,0.0,0.795,-8.745,0.0294,142.057,0.171,47,362826</t>
  </si>
  <si>
    <t>478,Better Than Revenge - Live/2011,Speak Now World Tour Live,2010-10-25,7,6505MLhnqTDDg4tjoUz2Wp,spotify:track:6505MLhnqTDDg4tjoUz2Wp,0.00306,0.445,0.887,2.67e-05,0.931,-5.629,0.0768,145.954,0.386,41,344573</t>
  </si>
  <si>
    <t>479,Speak Now - Live/2011,Speak Now World Tour Live,2010-10-25,8,3QFB14MOUf3imlyISNmrbT,spotify:track:3QFB14MOUf3imlyISNmrbT,0.0636,0.615,0.694,1.28e-06,0.83,-5.251,0.0318,118.876,0.373,40,248146</t>
  </si>
  <si>
    <t>480,Last Kiss - Live/2011,Speak Now World Tour Live,2010-10-25,9,6hH37tyeRdyan1mAppmVor,spotify:track:6hH37tyeRdyan1mAppmVor,0.205,0.427,0.395,8.73e-06,0.701,-12.551,0.0291,79.517,0.188,40,369066</t>
  </si>
  <si>
    <t>481,Drops Of Jupiter - Live/2011,Speak Now World Tour Live,2010-10-25,10,0BSmbCIY36iw04azzJ3S0S,spotify:track:0BSmbCIY36iw04azzJ3S0S,0.806,0.374,0.504,0.0,0.76,-8.407,0.0392,109.025,0.27,46,315173</t>
  </si>
  <si>
    <t>482,Bette Davis Eyes - Live/2011,Speak Now World Tour Live,2010-10-25,11,6KF9xd2hBLuexrmBX4vUWD,spotify:track:6KF9xd2hBLuexrmBX4vUWD,0.713,0.327,0.488,0.0,0.837,-9.287,0.0322,104.46,0.363,42,189146</t>
  </si>
  <si>
    <t>483,I Want You Back - Live/2011,Speak Now World Tour Live,2010-10-25,12,4KB3zBArZ1rHRExilzycaV,spotify:track:4KB3zBArZ1rHRExilzycaV,0.794,0.536,0.512,0.000122,0.497,-6.794,0.0341,97.397,0.249,40,83253</t>
  </si>
  <si>
    <t>484,Dear John - Live/2011,Speak Now World Tour Live,2010-10-25,13,4DbI1rr4IQ2bc8nejy9ttd,spotify:track:4DbI1rr4IQ2bc8nejy9ttd,0.0157,0.521,0.386,0.0,0.884,-8.784,0.0301,119.518,0.138,40,404680</t>
  </si>
  <si>
    <t>485,Enchanted - Live/2011,Speak Now World Tour Live,2010-10-25,14,3lm4L3pPL32PFy74dR17OR,spotify:track:3lm4L3pPL32PFy74dR17OR,0.0747,0.34,0.663,2.34e-06,0.563,-5.597,0.0331,163.678,0.214,42,389213</t>
  </si>
  <si>
    <t>486,Haunted - Live/2011,Speak Now World Tour Live,2010-10-25,15,6znB7YZhMJT2B83zfbiyLq,spotify:track:6znB7YZhMJT2B83zfbiyLq,0.0245,0.338,0.818,0.0,0.889,-7.495,0.0496,162.157,0.177,41,292426</t>
  </si>
  <si>
    <t>487,Long Live - Live/2011,Speak Now World Tour Live,2010-10-25,16,5QkzyLUb4ggojNDp8G2OxX,spotify:track:5QkzyLUb4ggojNDp8G2OxX,0.0053,0.544,0.728,0.0,0.865,-5.838,0.0282,101.939,0.204,41,376466</t>
  </si>
  <si>
    <t>488,Mine - POP Mix,Speak Now,2010-10-25,1,0GxW5K0qzrq7L1jwSY5OmY,spotify:track:0GxW5K0qzrq7L1jwSY5OmY,0.00461,0.696,0.768,1.21e-06,0.101,-3.863,0.0308,121.05,0.692,42,230546</t>
  </si>
  <si>
    <t>489,Sparks Fly,Speak Now,2010-10-25,2,46NGAvL695VnbcSeTmQWmM,spotify:track:46NGAvL695VnbcSeTmQWmM,0.0387,0.608,0.785,0.0,0.158,-2.976,0.0311,114.985,0.376,53,260946</t>
  </si>
  <si>
    <t>490,Back To December,Speak Now,2010-10-25,3,5l6GqSxplqnZbLg0LTPQeG,spotify:track:5l6GqSxplqnZbLg0LTPQeG,0.0202,0.517,0.606,0.0,0.324,-5.797,0.0289,141.929,0.296,62,293040</t>
  </si>
  <si>
    <t>491,Speak Now,Speak Now,2010-10-25,4,7dXKdjpOaH2iwfFKmUj7aq,spotify:track:7dXKdjpOaH2iwfFKmUj7aq,0.101,0.708,0.601,0.0,0.0979,-3.75,0.0306,118.962,0.742,50,240773</t>
  </si>
  <si>
    <t>492,Dear John,Speak Now,2010-10-25,5,3K2es3gElMRJ3qvmPW442g,spotify:track:3K2es3gElMRJ3qvmPW442g,0.183,0.583,0.468,1.65e-06,0.111,-5.378,0.0278,119.375,0.126,46,403933</t>
  </si>
  <si>
    <t>493,Mean,Speak Now,2010-10-25,6,0KztjtD3ytzgYjUKIVfBnW,spotify:track:0KztjtD3ytzgYjUKIVfBnW,0.445,0.57,0.747,0.0,0.219,-3.978,0.0426,164.004,0.808,51,237746</t>
  </si>
  <si>
    <t>494,The Story Of Us,Speak Now,2010-10-25,7,3lXekiVK1ZPZbKconsys73,spotify:track:3lXekiVK1ZPZbKconsys73,0.000315,0.575,0.855,0.00161,0.0419,-4.827,0.0467,139.92,0.84,48,265680</t>
  </si>
  <si>
    <t>495,Never Grow Up,Speak Now,2010-10-25,8,3JilapcaOXzjR9gtvCY8FO,spotify:track:3JilapcaOXzjR9gtvCY8FO,0.829,0.715,0.308,0.0,0.16,-8.829,0.0305,124.899,0.547,48,290480</t>
  </si>
  <si>
    <t>496,Enchanted,Speak Now,2010-10-25,9,04S1pkp1VaIqjg8zZqknR5,spotify:track:04S1pkp1VaIqjg8zZqknR5,0.0716,0.535,0.618,0.000388,0.169,-3.913,0.0273,81.975,0.228,71,352200</t>
  </si>
  <si>
    <t>497,Better Than Revenge,Speak Now,2010-10-25,10,0PWgAyoxsjwGRuFSO0fyya,spotify:track:0PWgAyoxsjwGRuFSO0fyya,0.0167,0.519,0.917,2.06e-05,0.359,-3.185,0.0887,145.882,0.652,54,217173</t>
  </si>
  <si>
    <t>498,Innocent,Speak Now,2010-10-25,11,0mTgFzkDgSAF3nJY25XCXG,spotify:track:0mTgFzkDgSAF3nJY25XCXG,0.202,0.553,0.604,0.0,0.125,-5.295,0.0258,133.989,0.186,38,302266</t>
  </si>
  <si>
    <t>499,Haunted,Speak Now,2010-10-25,12,2YjKcFQ1vYFhQPgsmCOjss,spotify:track:2YjKcFQ1vYFhQPgsmCOjss,0.0769,0.434,0.944,0.0,0.151,-2.641,0.0581,162.02,0.361,47,242093</t>
  </si>
  <si>
    <t>500,Last Kiss,Speak Now,2010-10-25,13,4EUQXLipplO2v9mVaqQtjc,spotify:track:4EUQXLipplO2v9mVaqQtjc,0.581,0.359,0.329,3.75e-05,0.0979,-9.531,0.0293,84.358,0.208,49,367146</t>
  </si>
  <si>
    <t>501,Long Live,Speak Now,2010-10-25,14,4ewAfHYpDTzpW1GKO44CVP,spotify:track:4ewAfHYpDTzpW1GKO44CVP,0.0426,0.412,0.682,7.47e-05,0.106,-4.319,0.0339,203.959,0.146,51,317960</t>
  </si>
  <si>
    <t>502,Mine - POP Mix,Speak Now (Deluxe Package),2010-01-01,1,0OAHsZ8vrS2NKom3cvfJQD,spotify:track:0OAHsZ8vrS2NKom3cvfJQD,0.00461,0.696,0.768,1.21e-06,0.101,-3.863,0.0308,121.05,0.692,42,230546</t>
  </si>
  <si>
    <t>503,Sparks Fly,Speak Now (Deluxe Package),2010-01-01,2,09cM9BjyNFizKUOXh6j9rT,spotify:track:09cM9BjyNFizKUOXh6j9rT,0.0387,0.608,0.785,0.0,0.158,-2.976,0.0311,114.985,0.376,52,260946</t>
  </si>
  <si>
    <t>504,Back To December,Speak Now (Deluxe Package),2010-01-01,3,0tr6XR58KBdDYd8qvHVTs8,spotify:track:0tr6XR58KBdDYd8qvHVTs8,0.0202,0.517,0.606,0.0,0.324,-5.797,0.0289,141.929,0.296,63,293040</t>
  </si>
  <si>
    <t>505,Speak Now,Speak Now (Deluxe Package),2010-01-01,4,2PBghI9zJkQEWBzMSMo2Ki,spotify:track:2PBghI9zJkQEWBzMSMo2Ki,0.101,0.708,0.601,0.0,0.0979,-3.75,0.0306,118.962,0.742,51,240773</t>
  </si>
  <si>
    <t>506,Dear John,Speak Now (Deluxe Package),2010-01-01,5,1GeLxMgpeCnMJntwyW6rLw,spotify:track:1GeLxMgpeCnMJntwyW6rLw,0.183,0.583,0.468,1.65e-06,0.111,-5.378,0.0278,119.375,0.126,46,403887</t>
  </si>
  <si>
    <t>507,Mean,Speak Now (Deluxe Package),2010-01-01,6,6yM6QsnTCTVOkKEvg3hGlo,spotify:track:6yM6QsnTCTVOkKEvg3hGlo,0.445,0.57,0.747,0.0,0.219,-3.978,0.0426,164.004,0.808,55,237746</t>
  </si>
  <si>
    <t>508,The Story Of Us,Speak Now (Deluxe Package),2010-01-01,7,7vBlnGdfOLzVEqiOQQxeU8,spotify:track:7vBlnGdfOLzVEqiOQQxeU8,0.000315,0.575,0.855,0.00161,0.0419,-4.827,0.0467,139.92,0.84,40,265636</t>
  </si>
  <si>
    <t>509,Never Grow Up,Speak Now (Deluxe Package),2010-01-01,8,57w0Uyk2jJAkO2hMJ36xJZ,spotify:track:57w0Uyk2jJAkO2hMJ36xJZ,0.829,0.715,0.308,0.0,0.16,-8.829,0.0305,124.899,0.547,44,290480</t>
  </si>
  <si>
    <t>510,Enchanted,Speak Now (Deluxe Package),2010-01-01,9,3sqrvkNC6IPTIXvvbx9Arw,spotify:track:3sqrvkNC6IPTIXvvbx9Arw,0.0716,0.535,0.618,0.000388,0.169,-3.913,0.0273,81.975,0.228,71,352200</t>
  </si>
  <si>
    <t>511,Better Than Revenge,Speak Now (Deluxe Package),2010-01-01,10,55mh9j2aB7xZ1Oh463gK8k,spotify:track:55mh9j2aB7xZ1Oh463gK8k,0.0167,0.519,0.917,2.06e-05,0.359,-3.185,0.0887,145.882,0.652,54,217173</t>
  </si>
  <si>
    <t>512,Innocent,Speak Now (Deluxe Package),2010-01-01,11,4LraIz87diVQdDK0rhi0S4,spotify:track:4LraIz87diVQdDK0rhi0S4,0.202,0.553,0.604,0.0,0.125,-5.295,0.0258,133.989,0.186,40,302266</t>
  </si>
  <si>
    <t>513,Haunted,Speak Now (Deluxe Package),2010-01-01,12,72idZxdEHLbi2YI486c3sE,spotify:track:72idZxdEHLbi2YI486c3sE,0.0769,0.434,0.944,0.0,0.151,-2.641,0.0581,162.02,0.361,48,242093</t>
  </si>
  <si>
    <t>514,Last Kiss,Speak Now (Deluxe Package),2010-01-01,13,1VCJ7vk3Y2DoJIAEOXe3V8,spotify:track:1VCJ7vk3Y2DoJIAEOXe3V8,0.581,0.359,0.329,3.75e-05,0.0979,-9.531,0.0293,84.358,0.208,46,367146</t>
  </si>
  <si>
    <t>515,Long Live,Speak Now (Deluxe Package),2010-01-01,14,7BFc7ffruhZ4Hecnqf5xju,spotify:track:7BFc7ffruhZ4Hecnqf5xju,0.0426,0.412,0.682,7.47e-05,0.106,-4.319,0.0339,203.959,0.146,46,317960</t>
  </si>
  <si>
    <t>516,Ours,Speak Now (Deluxe Package),2010-01-01,15,0hK93KD6Y0j9giUGh4Valj,spotify:track:0hK93KD6Y0j9giUGh4Valj,0.505,0.61,0.556,0.0,0.0851,-7.369,0.0285,159.838,0.192,46,238173</t>
  </si>
  <si>
    <t>517,If This Was A Movie,Speak Now (Deluxe Package),2010-01-01,16,5tSmAABuoOfR59lrtXdDqm,spotify:track:5tSmAABuoOfR59lrtXdDqm,0.154,0.515,0.724,4.05e-06,0.269,-3.498,0.0267,147.788,0.257,45,234546</t>
  </si>
  <si>
    <t>518,Superman,Speak Now (Deluxe Package),2010-01-01,17,6aJ0ipi4EPmu1aTbFeXZnw,spotify:track:6aJ0ipi4EPmu1aTbFeXZnw,0.0187,0.582,0.817,1.94e-06,0.101,-3.718,0.0337,131.983,0.547,39,276266</t>
  </si>
  <si>
    <t>519,Back To December - Acoustic,Speak Now (Deluxe Package),2010-01-01,18,7k7BOXE4u6luKTwcLEAyrd,spotify:track:7k7BOXE4u6luKTwcLEAyrd,0.731,0.541,0.451,0.0,0.197,-6.522,0.027,141.713,0.333,49,292533</t>
  </si>
  <si>
    <t>520,Haunted - Acoustic Version,Speak Now (Deluxe Package),2010-01-01,19,6SdBf0ZsJZoKaH5zcDaz9X,spotify:track:6SdBf0ZsJZoKaH5zcDaz9X,0.841,0.574,0.462,0.0,0.28,-5.124,0.0252,80.858,0.314,44,217626</t>
  </si>
  <si>
    <t>521,Mine,Speak Now (Deluxe Package),2010-01-01,20,67Io3gxHwfbUreBf114c0u,spotify:track:67Io3gxHwfbUreBf114c0u,0.00327,0.621,0.78,4.55e-06,0.184,-2.934,0.0297,121.038,0.672,57,230773</t>
  </si>
  <si>
    <t>522,Back To December,Speak Now (Deluxe Package),2010-01-01,21,5aNkiOMxQXkpoEY5bTYoCh,spotify:track:5aNkiOMxQXkpoEY5bTYoCh,0.113,0.525,0.676,0.0,0.294,-4.684,0.0294,141.95,0.281,34,293040</t>
  </si>
  <si>
    <t>523,The Story Of Us,Speak Now (Deluxe Package),2010-01-01,22,2jt90bYlYDg1lXYWES34LJ,spotify:track:2jt90bYlYDg1lXYWES34LJ,0.00487,0.546,0.809,0.000372,0.0437,-3.621,0.041,139.91,0.649,52,266480</t>
  </si>
  <si>
    <t>524,Jump Then Fall,Fearless (Platinum Edition),2008-11-11,1,6WWvcA62QlnRguluWAk6bv,spotify:track:6WWvcA62QlnRguluWAk6bv,0.111,0.618,0.687,0.0,0.0693,-5.737,0.0271,79.991,0.82,41,237066</t>
  </si>
  <si>
    <t>525,Untouchable,Fearless (Platinum Edition),2008-11-11,2,6ovFJkdau79DuXEvQjPaNH,spotify:track:6ovFJkdau79DuXEvQjPaNH,0.0583,0.419,0.454,3.78e-06,0.0974,-6.809,0.0335,200.017,0.288,43,311040</t>
  </si>
  <si>
    <t>526,Forever &amp; Always - Piano Version,Fearless (Platinum Edition),2008-11-11,3,13MAWVUSkbGMUi6I7RowRK,spotify:track:13MAWVUSkbGMUi6I7RowRK,0.852,0.592,0.16,0.0,0.116,-10.785,0.0347,118.929,0.294,41,267506</t>
  </si>
  <si>
    <t>527,Come In With The Rain,Fearless (Platinum Edition),2008-11-11,4,0cEG04R5cldkTLzK6phlcn,spotify:track:0cEG04R5cldkTLzK6phlcn,0.0961,0.527,0.461,2.47e-06,0.24,-6.172,0.0256,143.94,0.23,39,238093</t>
  </si>
  <si>
    <t>528,SuperStar,Fearless (Platinum Edition),2008-11-11,5,0XfTh16YcKPzdxMPTeKTAq,spotify:track:0XfTh16YcKPzdxMPTeKTAq,0.367,0.61,0.531,0.0,0.351,-6.123,0.0239,85.979,0.228,38,261453</t>
  </si>
  <si>
    <t>529,The Other Side Of The Door,Fearless (Platinum Edition),2008-11-11,6,1yDJcXc549N6AabNBzFAku,spotify:track:1yDJcXc549N6AabNBzFAku,0.169,0.476,0.816,0.0,0.238,-4.279,0.0347,163.847,0.469,39,237600</t>
  </si>
  <si>
    <t>530,Fearless,Fearless (Platinum Edition),2008-11-11,7,2okho7vU7Nsq1UZD0kgIMi,spotify:track:2okho7vU7Nsq1UZD0kgIMi,0.0364,0.598,0.714,1.04e-06,0.31,-4.397,0.0273,99.979,0.467,50,242000</t>
  </si>
  <si>
    <t>531,Fifteen,Fearless (Platinum Edition),2008-11-11,8,5Ora3Ish2A1JN5veGYTxhw,spotify:track:5Ora3Ish2A1JN5veGYTxhw,0.0728,0.559,0.636,0.0,0.144,-4.4,0.0263,95.485,0.214,40,294346</t>
  </si>
  <si>
    <t>532,Love Story,Fearless (Platinum Edition),2008-11-11,9,5hnJCRSo4pxRsaEwT9YusG,spotify:track:5hnJCRSo4pxRsaEwT9YusG,0.157,0.618,0.736,0.0,0.073,-3.937,0.0308,118.982,0.307,56,235280</t>
  </si>
  <si>
    <t>533,Hey Stephen,Fearless (Platinum Edition),2008-11-11,10,3CI1f4yLwdHzcUnH7o0Xyh,spotify:track:3CI1f4yLwdHzcUnH7o0Xyh,0.168,0.843,0.553,2.66e-06,0.107,-7.348,0.0317,115.997,0.825,43,254320</t>
  </si>
  <si>
    <t>534,White Horse,Fearless (Platinum Edition),2008-11-11,11,5yKB8qcTSflDercM2PXwot,spotify:track:5yKB8qcTSflDercM2PXwot,0.302,0.585,0.346,0.0,0.102,-8.014,0.0256,92.564,0.195,42,234440</t>
  </si>
  <si>
    <t>535,You Belong With Me,Fearless (Platinum Edition),2008-11-11,12,4kgTdThcDHfuDS2kKxB7Lc,spotify:track:4kgTdThcDHfuDS2kKxB7Lc,0.164,0.687,0.771,2.46e-05,0.112,-4.424,0.0384,129.964,0.445,57,231146</t>
  </si>
  <si>
    <t>536,Breathe,Fearless (Platinum Edition),2008-11-11,13,23qIWGhpwvDgC23TyZOUck,spotify:track:23qIWGhpwvDgC23TyZOUck,0.373,0.498,0.486,0.0,0.113,-7.384,0.0273,147.952,0.17,38,263986</t>
  </si>
  <si>
    <t>537,Tell Me Why,Fearless (Platinum Edition),2008-11-11,14,4x7Gxk2GfwZJcqpoVT1PbR,spotify:track:4x7Gxk2GfwZJcqpoVT1PbR,0.0606,0.601,0.852,3.41e-06,0.37,-3.096,0.0386,100.015,0.513,40,200560</t>
  </si>
  <si>
    <t>538,You're Not Sorry,Fearless (Platinum Edition),2008-11-11,15,3JhvYnOfKLJuWC7jEU0GmJ,spotify:track:3JhvYnOfKLJuWC7jEU0GmJ,0.13,0.459,0.459,2.3e-06,0.113,-4.126,0.0275,134.018,0.281,42,261800</t>
  </si>
  <si>
    <t>539,The Way I Loved You,Fearless (Platinum Edition),2008-11-11,16,4pEZUytwBzha5Un6m3SCFf,spotify:track:4pEZUytwBzha5Un6m3SCFf,0.0322,0.436,0.712,0.0,0.111,-3.689,0.0329,160.886,0.379,48,244240</t>
  </si>
  <si>
    <t>540,Forever &amp; Always,Fearless (Platinum Edition),2008-11-11,17,3NKCWBT2uKp8rxSkcvIrdX,spotify:track:3NKCWBT2uKp8rxSkcvIrdX,0.0907,0.605,0.829,0.0,0.106,-4.993,0.0549,128.012,0.514,43,225333</t>
  </si>
  <si>
    <t>541,The Best Day,Fearless (Platinum Edition),2008-11-11,18,7CjuAoOiSrwWv7wJonAUmw,spotify:track:7CjuAoOiSrwWv7wJonAUmw,0.611,0.664,0.447,1e-06,0.139,-8.535,0.0292,126.079,0.364,40,245346</t>
  </si>
  <si>
    <t>542,Change,Fearless (Platinum Edition),2008-11-11,19,3gFaNwyiafgUoQhR0pHYA9,spotify:track:3gFaNwyiafgUoQhR0pHYA9,0.00471,0.548,0.756,0.0,0.117,-4.175,0.036,96.038,0.224,40,281053</t>
  </si>
  <si>
    <t>543,Fearless,Fearless (International Version),2008-11-11,1,6zV8AVM9eVfdG7Qahwd64R,spotify:track:6zV8AVM9eVfdG7Qahwd64R,0.0449,0.593,0.705,0.0,0.309,-4.43,0.0269,100.11,0.472,36,242373</t>
  </si>
  <si>
    <t>544,Fifteen,Fearless (International Version),2008-11-11,2,4yf9OivCH2lmQWN8mzpCC6,spotify:track:4yf9OivCH2lmQWN8mzpCC6,0.072,0.555,0.648,0.0,0.143,-4.419,0.027,95.431,0.207,32,294306</t>
  </si>
  <si>
    <t>545,Love Story,Fearless (International Version),2008-11-11,3,5xPsybHWRHbTYO44xnREY5,spotify:track:5xPsybHWRHbTYO44xnREY5,0.0186,0.62,0.639,0.00011,0.206,-5.398,0.0285,119.055,0.34,46,233933</t>
  </si>
  <si>
    <t>546,Hey Stephen,Fearless (International Version),2008-11-11,4,4fWDgRZa0GKE5KZNhE9MQa,spotify:track:4fWDgRZa0GKE5KZNhE9MQa,0.174,0.843,0.543,3.87e-06,0.0968,-7.364,0.0317,116.0,0.826,30,254680</t>
  </si>
  <si>
    <t>547,White Horse,Fearless (International Version),2008-11-11,5,1yFjBRQVhRdcdnrTE5LuyD,spotify:track:1yFjBRQVhRdcdnrTE5LuyD,0.298,0.587,0.342,0.0,0.106,-8.034,0.0257,92.71,0.212,33,233560</t>
  </si>
  <si>
    <t>548,You Belong With Me,Fearless (International Version),2008-11-11,6,7G6TDmGJXDoBaV6NGj3Yic,spotify:track:7G6TDmGJXDoBaV6NGj3Yic,0.151,0.688,0.775,1.98e-05,0.104,-4.436,0.0381,129.969,0.469,45,230506</t>
  </si>
  <si>
    <t>549,Breathe,Fearless (International Version),2008-11-11,7,0qsSmObOgBZfuMIwfAQDBP,spotify:track:0qsSmObOgBZfuMIwfAQDBP,0.389,0.488,0.472,0.0,0.125,-7.39,0.0275,147.926,0.163,31,263720</t>
  </si>
  <si>
    <t>550,Tell Me Why,Fearless (International Version),2008-11-11,8,6vLpy7UPYuOa75Bkqocrcw,spotify:track:6vLpy7UPYuOa75Bkqocrcw,0.0611,0.606,0.848,1.99e-06,0.374,-3.058,0.0374,99.999,0.476,27,200213</t>
  </si>
  <si>
    <t>551,You're Not Sorry,Fearless (International Version),2008-11-11,9,4N419mmxYybTfAECy5j4dw,spotify:track:4N419mmxYybTfAECy5j4dw,0.145,0.471,0.458,2.39e-06,0.108,-4.137,0.027,133.96,0.309,28,261800</t>
  </si>
  <si>
    <t>552,The Way I Loved You,Fearless (International Version),2008-11-11,10,04LDcz3RX1P5sIlzQGqgUN,spotify:track:04LDcz3RX1P5sIlzQGqgUN,0.0315,0.434,0.723,0.0,0.125,-3.748,0.0335,160.872,0.412,31,244626</t>
  </si>
  <si>
    <t>553,Forever &amp; Always,Fearless (International Version),2008-11-11,11,3yuOL0jFnVR8tizZzNNo0F,spotify:track:3yuOL0jFnVR8tizZzNNo0F,0.0788,0.604,0.816,0.0,0.164,-5.002,0.0537,128.0,0.55,28,225000</t>
  </si>
  <si>
    <t>554,The Best Day,Fearless (International Version),2008-11-11,12,7G9D32Kx7hdQ9Uga1V4VXm,spotify:track:7G9D32Kx7hdQ9Uga1V4VXm,0.648,0.671,0.44,3.04e-06,0.141,-8.561,0.0287,126.059,0.368,26,245266</t>
  </si>
  <si>
    <t>555,Change,Fearless (International Version),2008-11-11,13,493jXNrYmXPCMbSJvVRYLk,spotify:track:493jXNrYmXPCMbSJvVRYLk,0.00465,0.545,0.747,0.0,0.115,-4.231,0.037,96.017,0.214,25,278546</t>
  </si>
  <si>
    <t>556,Our Song - International Mix,Fearless (International Version),2008-11-11,14,5Ct2PYPUSogyWvbV40k9Bf,spotify:track:5Ct2PYPUSogyWvbV40k9Bf,0.00739,0.516,0.696,1.11e-06,0.354,-4.833,0.0301,177.936,0.664,31,199933</t>
  </si>
  <si>
    <t>557,Teardrops On My Guitar - International Mix,Fearless (International Version),2008-11-11,15,2RM02ladxD5mgdrlAwh3h9,spotify:track:2RM02ladxD5mgdrlAwh3h9,0.0178,0.514,0.557,0.00755,0.114,-6.307,0.0264,99.974,0.152,34,193640</t>
  </si>
  <si>
    <t>558,Should've Said No - International Mix,Fearless (International Version),2008-11-11,16,2gwvtlwlKhvkfjz7Fcb6Yk,spotify:track:2gwvtlwlKhvkfjz7Fcb6Yk,0.00505,0.398,0.761,0.000437,0.234,-4.382,0.0377,168.092,0.454,29,245826</t>
  </si>
  <si>
    <t>559,Love Story - Live From Clear Channel Stripped 2008,Live From Clear Channel Stripped 2008,2008-06-28,1,4RBKAqJ3qyvvriDG0s9IJ3,spotify:track:4RBKAqJ3qyvvriDG0s9IJ3,0.659,0.741,0.444,0.0,0.131,-7.031,0.0311,119.006,0.512,35,221028</t>
  </si>
  <si>
    <t>560,Fearless - Live From Clear Channel Stripped 2008,Live From Clear Channel Stripped 2008,2008-06-28,2,5g7RMU3cV7zXWH244BLe7G,spotify:track:5g7RMU3cV7zXWH244BLe7G,0.814,0.623,0.266,0.0,0.145,-5.894,0.026,96.601,0.467,35,198247</t>
  </si>
  <si>
    <t>561,Beautiful Eyes - Live From Clear Channel Stripped 2008,Live From Clear Channel Stripped 2008,2008-06-28,3,4aBW31cmkA7BLColUsMEeZ,spotify:track:4aBW31cmkA7BLColUsMEeZ,0.596,0.627,0.704,0.0,0.0598,-3.739,0.0269,98.958,0.457,38,176316</t>
  </si>
  <si>
    <t>562,Untouchable - Live From Clear Channel Stripped 2008,Live From Clear Channel Stripped 2008,2008-06-28,4,4MbHDiHQjhmoVAV75G04Ql,spotify:track:4MbHDiHQjhmoVAV75G04Ql,0.856,0.731,0.184,0.0,0.0927,-9.235,0.0418,102.404,0.331,32,222959</t>
  </si>
  <si>
    <t>563,Teardrops On My Guitar - Live From Clear Channel Stripped 2008,Live From Clear Channel Stripped 2008,2008-06-28,5,4DjevQhsPWULcondN4mRh5,spotify:track:4DjevQhsPWULcondN4mRh5,0.664,0.344,0.801,0.0,0.106,-5.373,0.0574,204.489,0.615,30,196346</t>
  </si>
  <si>
    <t>564,Picture To Burn - Live From Clear Channel Stripped 2008,Live From Clear Channel Stripped 2008,2008-06-28,6,7EvU9pRoJ9Xs7anx0P7tEc,spotify:track:7EvU9pRoJ9Xs7anx0P7tEc,0.266,0.647,0.872,0.0,0.419,-1.953,0.0524,105.798,0.684,30,173899</t>
  </si>
  <si>
    <t>565,Should've Said No - Live From Clear Channel Stripped 2008,Live From Clear Channel Stripped 2008,2008-06-28,7,5a9hUL6ZuiagZhazwrtwHF,spotify:track:5a9hUL6ZuiagZhazwrtwHF,0.399,0.429,0.808,0.0,0.0884,-3.004,0.0677,171.537,0.438,30,228473</t>
  </si>
  <si>
    <t>566,Change - Live From Clear Channel Stripped 2008,Live From Clear Channel Stripped 2008,2008-06-28,8,69o9kr9UexjzeZDE8yD8dQ,spotify:track:69o9kr9UexjzeZDE8yD8dQ,0.156,0.243,0.712,0.0,0.111,-4.307,0.0577,202.319,0.273,28,258487</t>
  </si>
  <si>
    <t>567,Tim McGraw,Taylor Swift (Deluxe Edition),2006-10-24,1,2Fn01AIMyHbha2ceNQeOqw,spotify:track:2Fn01AIMyHbha2ceNQeOqw,0.575,0.58,0.491,0.0,0.121,-6.462,0.0251,76.009,0.425,56,232106</t>
  </si>
  <si>
    <t>568,Picture To Burn,Taylor Swift (Deluxe Edition),2006-10-24,2,4BYejINgfZF0qKDMEH2cim,spotify:track:4BYejINgfZF0qKDMEH2cim,0.173,0.658,0.877,0.0,0.0962,-2.098,0.0323,105.586,0.821,61,173066</t>
  </si>
  <si>
    <t>569,Teardrops On My Guitar - Radio Single Remix,Taylor Swift (Deluxe Edition),2006-10-24,3,2TF4UtYreqNbQ6Z9AccldU,spotify:track:2TF4UtYreqNbQ6Z9AccldU,0.288,0.621,0.417,0.0,0.119,-6.941,0.0231,99.953,0.289,63,203040</t>
  </si>
  <si>
    <t>570,A Place in this World,Taylor Swift (Deluxe Edition),2006-10-24,4,1oR4MUBpyNrAViC8wPNpfm,spotify:track:1oR4MUBpyNrAViC8wPNpfm,0.051,0.576,0.777,0.0,0.32,-2.881,0.0324,115.028,0.428,55,199200</t>
  </si>
  <si>
    <t>571,Cold As You,Taylor Swift (Deluxe Edition),2006-10-24,5,569sXXQ7t0jSdqHooi2yqs,spotify:track:569sXXQ7t0jSdqHooi2yqs,0.217,0.418,0.482,0.0,0.123,-5.769,0.0266,175.558,0.261,55,239013</t>
  </si>
  <si>
    <t>572,The Outside,Taylor Swift (Deluxe Edition),2006-10-24,6,5Tj2MqcFMf60CaGsKbM1aq,spotify:track:5Tj2MqcFMf60CaGsKbM1aq,0.00491,0.589,0.805,0.0,0.24,-4.055,0.0293,112.982,0.591,54,207106</t>
  </si>
  <si>
    <t>573,Tied Together with a Smile,Taylor Swift (Deluxe Edition),2006-10-24,7,2zzxwmoOBnXDT0KnJsoIWk,spotify:track:2zzxwmoOBnXDT0KnJsoIWk,0.525,0.479,0.578,0.0,0.0841,-4.963,0.0294,146.165,0.192,54,248106</t>
  </si>
  <si>
    <t>574,Stay Beautiful,Taylor Swift (Deluxe Edition),2006-10-24,8,41sjzdjScVwnxnxADElts6,spotify:track:41sjzdjScVwnxnxADElts6,0.0868,0.594,0.629,0.0,0.137,-4.919,0.0246,131.597,0.504,53,236053</t>
  </si>
  <si>
    <t>575,Should've Said No,Taylor Swift (Deluxe Edition),2006-10-24,9,6CdaXOq1MWe2JHDalTG01d,spotify:track:6CdaXOq1MWe2JHDalTG01d,0.0103,0.476,0.777,0.0,0.196,-3.771,0.0289,167.964,0.472,60,242200</t>
  </si>
  <si>
    <t>576,Mary's Song (Oh My My My),Taylor Swift (Deluxe Edition),2006-10-24,10,2O8sogKJCfVZ4rotBv1vVF,spotify:track:2O8sogKJCfVZ4rotBv1vVF,0.0177,0.403,0.627,0.0,0.182,-5.28,0.0292,74.9,0.374,57,213080</t>
  </si>
  <si>
    <t>577,Our Song,Taylor Swift (Deluxe Edition),2006-10-24,11,1j6gmK6u4WNI33lMZ8dC1s,spotify:track:1j6gmK6u4WNI33lMZ8dC1s,0.111,0.668,0.672,0.0,0.329,-4.931,0.0303,89.011,0.539,64,201106</t>
  </si>
  <si>
    <t>578,I'm Only Me When I'm With You,Taylor Swift (Deluxe Edition),2006-10-24,12,7CzxXgQXurKZCyHz9ufbo1,spotify:track:7CzxXgQXurKZCyHz9ufbo1,0.00452,0.563,0.934,0.000807,0.103,-3.629,0.0646,143.964,0.518,56,213053</t>
  </si>
  <si>
    <t>579,Invisible,Taylor Swift (Deluxe Edition),2006-10-24,13,1k3PzDNjg38cWqOvL4M9vq,spotify:track:1k3PzDNjg38cWqOvL4M9vq,0.637,0.612,0.394,0.0,0.147,-5.723,0.0243,96.001,0.233,54,203226</t>
  </si>
  <si>
    <t>580,A Perfectly Good Heart,Taylor Swift (Deluxe Edition),2006-10-24,14,0YgHuReCSPwTXYny7isLja,spotify:track:0YgHuReCSPwTXYny7isLja,0.00349,0.483,0.751,0.0,0.128,-5.726,0.0365,156.092,0.268,53,220146</t>
  </si>
  <si>
    <t>581,Teardrops on My Guitar - Pop Version,Taylor Swift (Deluxe Edition),2006-10-24,15,1hxLyjC9D9Jpw6EAPKqWv4,spotify:track:1hxLyjC9D9Jpw6EAPKqWv4,0.0402,0.459,0.753,0.0,0.0863,-3.827,0.0537,199.997,0.483,55,179066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</si>
</sst>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1" fillId="0" borderId="0" xfId="0" applyNumberFormat="1" applyFont="1"/>
    <xf numFmtId="3" fontId="1" fillId="0" borderId="0" xfId="0" applyNumberFormat="1" applyFont="1"/>
    <xf numFmtId="20" fontId="1" fillId="0" borderId="0" xfId="0" applyNumberFormat="1" applyFont="1"/>
    <xf numFmtId="11" fontId="1" fillId="0" borderId="0" xfId="0" applyNumberFormat="1" applyFont="1"/>
    <xf numFmtId="46" fontId="1" fillId="0" borderId="0" xfId="0" applyNumberFormat="1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20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46" fontId="2" fillId="0" borderId="0" xfId="0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" formatCode="#,##0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" formatCode="#,##0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5" formatCode="hh:mm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yyyy\-mm\-dd;@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Spotify Taylor Swift.xlsx]Pivot Table!PivotTable3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ID"/>
              <a:t>Top 10 Most Popular Songs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Table'!$J$4:$J$16</c:f>
              <c:strCache>
                <c:ptCount val="12"/>
                <c:pt idx="0">
                  <c:v>august</c:v>
                </c:pt>
                <c:pt idx="1">
                  <c:v>...Ready For It?</c:v>
                </c:pt>
                <c:pt idx="2">
                  <c:v>Anti-Hero</c:v>
                </c:pt>
                <c:pt idx="3">
                  <c:v>cardigan</c:v>
                </c:pt>
                <c:pt idx="4">
                  <c:v>Cruel Summer</c:v>
                </c:pt>
                <c:pt idx="5">
                  <c:v>Don’t Blame Me</c:v>
                </c:pt>
                <c:pt idx="6">
                  <c:v>Down Bad</c:v>
                </c:pt>
                <c:pt idx="7">
                  <c:v>Fortnight (feat. Post Malone)</c:v>
                </c:pt>
                <c:pt idx="8">
                  <c:v>Guilty as Sin?</c:v>
                </c:pt>
                <c:pt idx="9">
                  <c:v>I Can Do It With a Broken Heart</c:v>
                </c:pt>
                <c:pt idx="10">
                  <c:v>Lover</c:v>
                </c:pt>
                <c:pt idx="11">
                  <c:v>So High School</c:v>
                </c:pt>
              </c:strCache>
            </c:strRef>
          </c:cat>
          <c:val>
            <c:numRef>
              <c:f>'Pivot Table'!$K$4:$K$16</c:f>
              <c:numCache>
                <c:formatCode>General</c:formatCode>
                <c:ptCount val="12"/>
                <c:pt idx="0">
                  <c:v>84</c:v>
                </c:pt>
                <c:pt idx="1">
                  <c:v>82</c:v>
                </c:pt>
                <c:pt idx="2">
                  <c:v>85</c:v>
                </c:pt>
                <c:pt idx="3">
                  <c:v>84</c:v>
                </c:pt>
                <c:pt idx="4">
                  <c:v>93</c:v>
                </c:pt>
                <c:pt idx="5">
                  <c:v>85</c:v>
                </c:pt>
                <c:pt idx="6">
                  <c:v>82</c:v>
                </c:pt>
                <c:pt idx="7">
                  <c:v>91</c:v>
                </c:pt>
                <c:pt idx="8">
                  <c:v>82</c:v>
                </c:pt>
                <c:pt idx="9">
                  <c:v>88</c:v>
                </c:pt>
                <c:pt idx="10">
                  <c:v>86</c:v>
                </c:pt>
                <c:pt idx="1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5-0740-AB9F-766D3D266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450752"/>
        <c:axId val="201660608"/>
      </c:barChart>
      <c:catAx>
        <c:axId val="20545075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201660608"/>
        <c:crosses val="autoZero"/>
        <c:auto val="1"/>
        <c:lblAlgn val="ctr"/>
        <c:lblOffset val="100"/>
        <c:noMultiLvlLbl val="0"/>
      </c:catAx>
      <c:valAx>
        <c:axId val="2016606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54507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Spotify Taylor Swift.xlsx]Pivot Table!PivotTable5</c:name>
    <c:fmtId val="3"/>
  </c:pivotSource>
  <c:chart>
    <c:title>
      <c:tx>
        <c:rich>
          <a:bodyPr/>
          <a:lstStyle/>
          <a:p>
            <a:pPr>
              <a:defRPr sz="1200"/>
            </a:pPr>
            <a:r>
              <a:rPr lang="en-ID" sz="1200" b="1" i="0" u="none" strike="noStrike" baseline="0"/>
              <a:t>Trend of Danceability and Energy Over Time</a:t>
            </a:r>
            <a:endParaRPr lang="en-ID" sz="1200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Table'!$C$31</c:f>
              <c:strCache>
                <c:ptCount val="1"/>
                <c:pt idx="0">
                  <c:v>Average of energy</c:v>
                </c:pt>
              </c:strCache>
            </c:strRef>
          </c:tx>
          <c:marker>
            <c:symbol val="none"/>
          </c:marker>
          <c:cat>
            <c:strRef>
              <c:f>'Pivot Table'!$B$32:$B$44</c:f>
              <c:strCache>
                <c:ptCount val="12"/>
                <c:pt idx="0">
                  <c:v>2006</c:v>
                </c:pt>
                <c:pt idx="1">
                  <c:v>2008</c:v>
                </c:pt>
                <c:pt idx="2">
                  <c:v>2010</c:v>
                </c:pt>
                <c:pt idx="3">
                  <c:v>2012</c:v>
                </c:pt>
                <c:pt idx="4">
                  <c:v>2014</c:v>
                </c:pt>
                <c:pt idx="5">
                  <c:v>2017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'Pivot Table'!$C$32:$C$44</c:f>
              <c:numCache>
                <c:formatCode>General</c:formatCode>
                <c:ptCount val="12"/>
                <c:pt idx="0">
                  <c:v>0.46129629629629626</c:v>
                </c:pt>
                <c:pt idx="1">
                  <c:v>0.41710271317829445</c:v>
                </c:pt>
                <c:pt idx="2">
                  <c:v>0.44659455128205128</c:v>
                </c:pt>
                <c:pt idx="3">
                  <c:v>0.39128289473684202</c:v>
                </c:pt>
                <c:pt idx="4">
                  <c:v>0.42078993055555547</c:v>
                </c:pt>
                <c:pt idx="5">
                  <c:v>0.41212431693989071</c:v>
                </c:pt>
                <c:pt idx="6">
                  <c:v>0.31404320987654322</c:v>
                </c:pt>
                <c:pt idx="7">
                  <c:v>0.24852642276422765</c:v>
                </c:pt>
                <c:pt idx="8">
                  <c:v>0.38021308980213081</c:v>
                </c:pt>
                <c:pt idx="9">
                  <c:v>0.2477272727272728</c:v>
                </c:pt>
                <c:pt idx="10">
                  <c:v>0.39544665404040397</c:v>
                </c:pt>
                <c:pt idx="11">
                  <c:v>0.28289007092198581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E-F24A-925C-13A8C7454212}"/>
            </c:ext>
          </c:extLst>
        </c:ser>
        <c:ser>
          <c:idx val="1"/>
          <c:order val="1"/>
          <c:tx>
            <c:strRef>
              <c:f>'Pivot Table'!$D$31</c:f>
              <c:strCache>
                <c:ptCount val="1"/>
                <c:pt idx="0">
                  <c:v>Average of danceability</c:v>
                </c:pt>
              </c:strCache>
            </c:strRef>
          </c:tx>
          <c:marker>
            <c:symbol val="none"/>
          </c:marker>
          <c:cat>
            <c:strRef>
              <c:f>'Pivot Table'!$B$32:$B$44</c:f>
              <c:strCache>
                <c:ptCount val="12"/>
                <c:pt idx="0">
                  <c:v>2006</c:v>
                </c:pt>
                <c:pt idx="1">
                  <c:v>2008</c:v>
                </c:pt>
                <c:pt idx="2">
                  <c:v>2010</c:v>
                </c:pt>
                <c:pt idx="3">
                  <c:v>2012</c:v>
                </c:pt>
                <c:pt idx="4">
                  <c:v>2014</c:v>
                </c:pt>
                <c:pt idx="5">
                  <c:v>2017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'Pivot Table'!$D$32:$D$44</c:f>
              <c:numCache>
                <c:formatCode>General</c:formatCode>
                <c:ptCount val="12"/>
                <c:pt idx="0">
                  <c:v>0.35449074074074077</c:v>
                </c:pt>
                <c:pt idx="1">
                  <c:v>0.37716408268733842</c:v>
                </c:pt>
                <c:pt idx="2">
                  <c:v>0.33736645299145301</c:v>
                </c:pt>
                <c:pt idx="3">
                  <c:v>0.41935307017543866</c:v>
                </c:pt>
                <c:pt idx="4">
                  <c:v>0.40312499999999996</c:v>
                </c:pt>
                <c:pt idx="5">
                  <c:v>0.3708105646630237</c:v>
                </c:pt>
                <c:pt idx="6">
                  <c:v>0.43591820987654317</c:v>
                </c:pt>
                <c:pt idx="7">
                  <c:v>0.34929708672086723</c:v>
                </c:pt>
                <c:pt idx="8">
                  <c:v>0.36423135464231354</c:v>
                </c:pt>
                <c:pt idx="9">
                  <c:v>0.35006313131313127</c:v>
                </c:pt>
                <c:pt idx="10">
                  <c:v>0.36339172979797973</c:v>
                </c:pt>
                <c:pt idx="11">
                  <c:v>0.34840425531914887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E-F24A-925C-13A8C7454212}"/>
            </c:ext>
          </c:extLst>
        </c:ser>
        <c:ser>
          <c:idx val="2"/>
          <c:order val="2"/>
          <c:tx>
            <c:strRef>
              <c:f>'Pivot Table'!$E$31</c:f>
              <c:strCache>
                <c:ptCount val="1"/>
                <c:pt idx="0">
                  <c:v>Average of valence</c:v>
                </c:pt>
              </c:strCache>
            </c:strRef>
          </c:tx>
          <c:marker>
            <c:symbol val="none"/>
          </c:marker>
          <c:cat>
            <c:strRef>
              <c:f>'Pivot Table'!$B$32:$B$44</c:f>
              <c:strCache>
                <c:ptCount val="12"/>
                <c:pt idx="0">
                  <c:v>2006</c:v>
                </c:pt>
                <c:pt idx="1">
                  <c:v>2008</c:v>
                </c:pt>
                <c:pt idx="2">
                  <c:v>2010</c:v>
                </c:pt>
                <c:pt idx="3">
                  <c:v>2012</c:v>
                </c:pt>
                <c:pt idx="4">
                  <c:v>2014</c:v>
                </c:pt>
                <c:pt idx="5">
                  <c:v>2017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'Pivot Table'!$E$32:$E$44</c:f>
              <c:numCache>
                <c:formatCode>General</c:formatCode>
                <c:ptCount val="12"/>
                <c:pt idx="0">
                  <c:v>0.29620370370370375</c:v>
                </c:pt>
                <c:pt idx="1">
                  <c:v>0.24859496124031016</c:v>
                </c:pt>
                <c:pt idx="2">
                  <c:v>0.24772970085470086</c:v>
                </c:pt>
                <c:pt idx="3">
                  <c:v>0.32006578947368419</c:v>
                </c:pt>
                <c:pt idx="4">
                  <c:v>0.32029079861111104</c:v>
                </c:pt>
                <c:pt idx="5">
                  <c:v>0.29314663023679416</c:v>
                </c:pt>
                <c:pt idx="6">
                  <c:v>0.33433641975308648</c:v>
                </c:pt>
                <c:pt idx="7">
                  <c:v>0.21991869918699183</c:v>
                </c:pt>
                <c:pt idx="8">
                  <c:v>0.26696156773211577</c:v>
                </c:pt>
                <c:pt idx="9">
                  <c:v>0.22609427609427615</c:v>
                </c:pt>
                <c:pt idx="10">
                  <c:v>0.27151988636363639</c:v>
                </c:pt>
                <c:pt idx="11">
                  <c:v>0.19298167848699757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9E-F24A-925C-13A8C7454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57088"/>
        <c:axId val="167905536"/>
      </c:lineChart>
      <c:catAx>
        <c:axId val="173657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7905536"/>
        <c:crosses val="autoZero"/>
        <c:auto val="1"/>
        <c:lblAlgn val="ctr"/>
        <c:lblOffset val="100"/>
        <c:noMultiLvlLbl val="0"/>
      </c:catAx>
      <c:valAx>
        <c:axId val="16790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657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Spotify Taylor Swift.xlsx]Pivot Table!PivotTable1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D"/>
              <a:t>Average Popularity by Album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Table'!$B$4:$B$14</c:f>
              <c:strCache>
                <c:ptCount val="10"/>
                <c:pt idx="0">
                  <c:v>THE TORTURED POETS DEPARTMENT: THE ANTHOLOGY</c:v>
                </c:pt>
                <c:pt idx="1">
                  <c:v>THE TORTURED POETS DEPARTMENT</c:v>
                </c:pt>
                <c:pt idx="2">
                  <c:v>Lover</c:v>
                </c:pt>
                <c:pt idx="3">
                  <c:v>reputation</c:v>
                </c:pt>
                <c:pt idx="4">
                  <c:v>Midnights</c:v>
                </c:pt>
                <c:pt idx="5">
                  <c:v>folklore</c:v>
                </c:pt>
                <c:pt idx="6">
                  <c:v>1989 (Taylor's Version)</c:v>
                </c:pt>
                <c:pt idx="7">
                  <c:v>Speak Now (Taylor's Version)</c:v>
                </c:pt>
                <c:pt idx="8">
                  <c:v>Red (Taylor's Version)</c:v>
                </c:pt>
                <c:pt idx="9">
                  <c:v>evermore</c:v>
                </c:pt>
              </c:strCache>
            </c:strRef>
          </c:cat>
          <c:val>
            <c:numRef>
              <c:f>'Pivot Table'!$C$4:$C$14</c:f>
              <c:numCache>
                <c:formatCode>General</c:formatCode>
                <c:ptCount val="10"/>
                <c:pt idx="0">
                  <c:v>78.774193548387103</c:v>
                </c:pt>
                <c:pt idx="1">
                  <c:v>77</c:v>
                </c:pt>
                <c:pt idx="2">
                  <c:v>75.944444444444443</c:v>
                </c:pt>
                <c:pt idx="3">
                  <c:v>75.733333333333334</c:v>
                </c:pt>
                <c:pt idx="4">
                  <c:v>74.15384615384616</c:v>
                </c:pt>
                <c:pt idx="5">
                  <c:v>72.8125</c:v>
                </c:pt>
                <c:pt idx="6">
                  <c:v>72.19047619047619</c:v>
                </c:pt>
                <c:pt idx="7">
                  <c:v>69.454545454545453</c:v>
                </c:pt>
                <c:pt idx="8">
                  <c:v>67.233333333333334</c:v>
                </c:pt>
                <c:pt idx="9">
                  <c:v>66.400000000000006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B-E140-9800-EB4E0C5C7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54016"/>
        <c:axId val="44547392"/>
      </c:barChart>
      <c:catAx>
        <c:axId val="17365401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44547392"/>
        <c:crosses val="autoZero"/>
        <c:auto val="1"/>
        <c:lblAlgn val="ctr"/>
        <c:lblOffset val="100"/>
        <c:noMultiLvlLbl val="0"/>
      </c:catAx>
      <c:valAx>
        <c:axId val="4454739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36540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Spotify Taylor Swift.xlsx]Pivot Table!PivotTable2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ID"/>
              <a:t>Average Duration by Album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Table'!$G$4:$G$33</c:f>
              <c:strCache>
                <c:ptCount val="29"/>
                <c:pt idx="0">
                  <c:v>Speak Now World Tour Live</c:v>
                </c:pt>
                <c:pt idx="1">
                  <c:v>Speak Now</c:v>
                </c:pt>
                <c:pt idx="2">
                  <c:v>Speak Now (Taylor's Version)</c:v>
                </c:pt>
                <c:pt idx="3">
                  <c:v>Speak Now (Deluxe Package)</c:v>
                </c:pt>
                <c:pt idx="4">
                  <c:v>Red (Taylor's Version)</c:v>
                </c:pt>
                <c:pt idx="5">
                  <c:v>Fearless (Platinum Edition)</c:v>
                </c:pt>
                <c:pt idx="6">
                  <c:v>Red (Deluxe Edition)</c:v>
                </c:pt>
                <c:pt idx="7">
                  <c:v>Fearless (Taylor's Version)</c:v>
                </c:pt>
                <c:pt idx="8">
                  <c:v>THE TORTURED POETS DEPARTMENT</c:v>
                </c:pt>
                <c:pt idx="9">
                  <c:v>evermore (deluxe version)</c:v>
                </c:pt>
                <c:pt idx="10">
                  <c:v>Red</c:v>
                </c:pt>
                <c:pt idx="11">
                  <c:v>evermore</c:v>
                </c:pt>
                <c:pt idx="12">
                  <c:v>reputation Stadium Tour Surprise Song Playlist</c:v>
                </c:pt>
                <c:pt idx="13">
                  <c:v>Fearless (International Version)</c:v>
                </c:pt>
                <c:pt idx="14">
                  <c:v>folklore</c:v>
                </c:pt>
                <c:pt idx="15">
                  <c:v>folklore: the long pond studio sessions (from the Disney+ special) [deluxe edition]</c:v>
                </c:pt>
                <c:pt idx="16">
                  <c:v>THE TORTURED POETS DEPARTMENT: THE ANTHOLOGY</c:v>
                </c:pt>
                <c:pt idx="17">
                  <c:v>folklore (deluxe version)</c:v>
                </c:pt>
                <c:pt idx="18">
                  <c:v>1989</c:v>
                </c:pt>
                <c:pt idx="19">
                  <c:v>reputation</c:v>
                </c:pt>
                <c:pt idx="20">
                  <c:v>1989 (Taylor's Version)</c:v>
                </c:pt>
                <c:pt idx="21">
                  <c:v>1989 (Taylor's Version) [Deluxe]</c:v>
                </c:pt>
                <c:pt idx="22">
                  <c:v>1989 (Deluxe)</c:v>
                </c:pt>
                <c:pt idx="23">
                  <c:v>Taylor Swift (Deluxe Edition)</c:v>
                </c:pt>
                <c:pt idx="24">
                  <c:v>Midnights (The Til Dawn Edition)</c:v>
                </c:pt>
                <c:pt idx="25">
                  <c:v>Live From Clear Channel Stripped 2008</c:v>
                </c:pt>
                <c:pt idx="26">
                  <c:v>Midnights (3am Edition)</c:v>
                </c:pt>
                <c:pt idx="27">
                  <c:v>Lover</c:v>
                </c:pt>
                <c:pt idx="28">
                  <c:v>Midnights</c:v>
                </c:pt>
              </c:strCache>
            </c:strRef>
          </c:cat>
          <c:val>
            <c:numRef>
              <c:f>'Pivot Table'!$H$4:$H$33</c:f>
              <c:numCache>
                <c:formatCode>General</c:formatCode>
                <c:ptCount val="29"/>
                <c:pt idx="0">
                  <c:v>4.9512499999999999</c:v>
                </c:pt>
                <c:pt idx="1">
                  <c:v>4.7871428571428565</c:v>
                </c:pt>
                <c:pt idx="2">
                  <c:v>4.7604545454545457</c:v>
                </c:pt>
                <c:pt idx="3">
                  <c:v>4.5990909090909078</c:v>
                </c:pt>
                <c:pt idx="4">
                  <c:v>4.3553333333333342</c:v>
                </c:pt>
                <c:pt idx="5">
                  <c:v>4.1810526315789476</c:v>
                </c:pt>
                <c:pt idx="6">
                  <c:v>4.121363636363637</c:v>
                </c:pt>
                <c:pt idx="7">
                  <c:v>4.0984615384615388</c:v>
                </c:pt>
                <c:pt idx="8">
                  <c:v>4.0774999999999997</c:v>
                </c:pt>
                <c:pt idx="9">
                  <c:v>4.0629411764705878</c:v>
                </c:pt>
                <c:pt idx="10">
                  <c:v>4.0568749999999998</c:v>
                </c:pt>
                <c:pt idx="11">
                  <c:v>4.05</c:v>
                </c:pt>
                <c:pt idx="12">
                  <c:v>4.0493478260869571</c:v>
                </c:pt>
                <c:pt idx="13">
                  <c:v>4.00875</c:v>
                </c:pt>
                <c:pt idx="14">
                  <c:v>3.9743749999999998</c:v>
                </c:pt>
                <c:pt idx="15">
                  <c:v>3.9605882352941175</c:v>
                </c:pt>
                <c:pt idx="16">
                  <c:v>3.95483870967742</c:v>
                </c:pt>
                <c:pt idx="17">
                  <c:v>3.9482352941176466</c:v>
                </c:pt>
                <c:pt idx="18">
                  <c:v>3.7530769230769234</c:v>
                </c:pt>
                <c:pt idx="19">
                  <c:v>3.7160000000000006</c:v>
                </c:pt>
                <c:pt idx="20">
                  <c:v>3.7123809523809519</c:v>
                </c:pt>
                <c:pt idx="21">
                  <c:v>3.6949999999999998</c:v>
                </c:pt>
                <c:pt idx="22">
                  <c:v>3.6189473684210536</c:v>
                </c:pt>
                <c:pt idx="23">
                  <c:v>3.5653333333333332</c:v>
                </c:pt>
                <c:pt idx="24">
                  <c:v>3.5034782608695649</c:v>
                </c:pt>
                <c:pt idx="25">
                  <c:v>3.4912499999999995</c:v>
                </c:pt>
                <c:pt idx="26">
                  <c:v>3.4740000000000002</c:v>
                </c:pt>
                <c:pt idx="27">
                  <c:v>3.4366666666666661</c:v>
                </c:pt>
                <c:pt idx="28">
                  <c:v>3.3946153846153848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9-7340-AD5F-C578190C3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89088"/>
        <c:axId val="167906112"/>
      </c:barChart>
      <c:catAx>
        <c:axId val="1440890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167906112"/>
        <c:crosses val="autoZero"/>
        <c:auto val="1"/>
        <c:lblAlgn val="ctr"/>
        <c:lblOffset val="100"/>
        <c:noMultiLvlLbl val="0"/>
      </c:catAx>
      <c:valAx>
        <c:axId val="1679061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40890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Spotify Taylor Swift.xlsx]Pivot Table!PivotTable6</c:name>
    <c:fmtId val="1"/>
  </c:pivotSource>
  <c:chart>
    <c:title>
      <c:tx>
        <c:rich>
          <a:bodyPr/>
          <a:lstStyle/>
          <a:p>
            <a:pPr>
              <a:defRPr sz="1200"/>
            </a:pPr>
            <a:r>
              <a:rPr lang="en-ID" sz="1200"/>
              <a:t>Comparison of Audio Features (Excluding Tempo)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Table'!$C$47</c:f>
              <c:strCache>
                <c:ptCount val="1"/>
                <c:pt idx="0">
                  <c:v>Average of danceability</c:v>
                </c:pt>
              </c:strCache>
            </c:strRef>
          </c:tx>
          <c:invertIfNegative val="0"/>
          <c:cat>
            <c:strRef>
              <c:f>'Pivot Table'!$B$48:$B$51</c:f>
              <c:strCache>
                <c:ptCount val="3"/>
                <c:pt idx="0">
                  <c:v>Less Popular</c:v>
                </c:pt>
                <c:pt idx="1">
                  <c:v>Mid</c:v>
                </c:pt>
                <c:pt idx="2">
                  <c:v>Popular</c:v>
                </c:pt>
              </c:strCache>
            </c:strRef>
          </c:cat>
          <c:val>
            <c:numRef>
              <c:f>'Pivot Table'!$C$48:$C$51</c:f>
              <c:numCache>
                <c:formatCode>General</c:formatCode>
                <c:ptCount val="3"/>
                <c:pt idx="0">
                  <c:v>0.38607990012484417</c:v>
                </c:pt>
                <c:pt idx="1">
                  <c:v>0.36210622284295474</c:v>
                </c:pt>
                <c:pt idx="2">
                  <c:v>0.36682613168724271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3-AC41-86EC-B8296CD25FAA}"/>
            </c:ext>
          </c:extLst>
        </c:ser>
        <c:ser>
          <c:idx val="1"/>
          <c:order val="1"/>
          <c:tx>
            <c:strRef>
              <c:f>'Pivot Table'!$D$47</c:f>
              <c:strCache>
                <c:ptCount val="1"/>
                <c:pt idx="0">
                  <c:v>Average of energy</c:v>
                </c:pt>
              </c:strCache>
            </c:strRef>
          </c:tx>
          <c:invertIfNegative val="0"/>
          <c:cat>
            <c:strRef>
              <c:f>'Pivot Table'!$B$48:$B$51</c:f>
              <c:strCache>
                <c:ptCount val="3"/>
                <c:pt idx="0">
                  <c:v>Less Popular</c:v>
                </c:pt>
                <c:pt idx="1">
                  <c:v>Mid</c:v>
                </c:pt>
                <c:pt idx="2">
                  <c:v>Popular</c:v>
                </c:pt>
              </c:strCache>
            </c:strRef>
          </c:cat>
          <c:val>
            <c:numRef>
              <c:f>'Pivot Table'!$D$48:$D$51</c:f>
              <c:numCache>
                <c:formatCode>General</c:formatCode>
                <c:ptCount val="3"/>
                <c:pt idx="0">
                  <c:v>0.4022862047440699</c:v>
                </c:pt>
                <c:pt idx="1">
                  <c:v>0.35837600869025443</c:v>
                </c:pt>
                <c:pt idx="2">
                  <c:v>0.35190329218106992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F3-AC41-86EC-B8296CD25FAA}"/>
            </c:ext>
          </c:extLst>
        </c:ser>
        <c:ser>
          <c:idx val="2"/>
          <c:order val="2"/>
          <c:tx>
            <c:strRef>
              <c:f>'Pivot Table'!$E$47</c:f>
              <c:strCache>
                <c:ptCount val="1"/>
                <c:pt idx="0">
                  <c:v>Average of valence</c:v>
                </c:pt>
              </c:strCache>
            </c:strRef>
          </c:tx>
          <c:invertIfNegative val="0"/>
          <c:cat>
            <c:strRef>
              <c:f>'Pivot Table'!$B$48:$B$51</c:f>
              <c:strCache>
                <c:ptCount val="3"/>
                <c:pt idx="0">
                  <c:v>Less Popular</c:v>
                </c:pt>
                <c:pt idx="1">
                  <c:v>Mid</c:v>
                </c:pt>
                <c:pt idx="2">
                  <c:v>Popular</c:v>
                </c:pt>
              </c:strCache>
            </c:strRef>
          </c:cat>
          <c:val>
            <c:numRef>
              <c:f>'Pivot Table'!$E$48:$E$51</c:f>
              <c:numCache>
                <c:formatCode>General</c:formatCode>
                <c:ptCount val="3"/>
                <c:pt idx="0">
                  <c:v>0.29747191011235957</c:v>
                </c:pt>
                <c:pt idx="1">
                  <c:v>0.25810249844816913</c:v>
                </c:pt>
                <c:pt idx="2">
                  <c:v>0.24738683127572014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F3-AC41-86EC-B8296CD25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398528"/>
        <c:axId val="173127296"/>
      </c:barChart>
      <c:catAx>
        <c:axId val="205398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3127296"/>
        <c:crosses val="autoZero"/>
        <c:auto val="1"/>
        <c:lblAlgn val="ctr"/>
        <c:lblOffset val="100"/>
        <c:noMultiLvlLbl val="0"/>
      </c:catAx>
      <c:valAx>
        <c:axId val="17312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398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Spotify Taylor Swift.xlsx]Pivot Table!PivotTable7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ID"/>
              <a:t>Average Tempo by Popularity Group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Table'!$C$53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Table'!$B$54:$B$56</c:f>
              <c:strCache>
                <c:ptCount val="2"/>
                <c:pt idx="0">
                  <c:v>Less Popular</c:v>
                </c:pt>
                <c:pt idx="1">
                  <c:v>Popular</c:v>
                </c:pt>
              </c:strCache>
            </c:strRef>
          </c:cat>
          <c:val>
            <c:numRef>
              <c:f>'Pivot Table'!$C$54:$C$56</c:f>
              <c:numCache>
                <c:formatCode>General</c:formatCode>
                <c:ptCount val="2"/>
                <c:pt idx="0">
                  <c:v>117314.9103339947</c:v>
                </c:pt>
                <c:pt idx="1">
                  <c:v>117330.65282118057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F-8E48-A460-F51756C0E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210880"/>
        <c:axId val="44543360"/>
      </c:barChart>
      <c:catAx>
        <c:axId val="145210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4543360"/>
        <c:crosses val="autoZero"/>
        <c:auto val="1"/>
        <c:lblAlgn val="ctr"/>
        <c:lblOffset val="100"/>
        <c:noMultiLvlLbl val="0"/>
      </c:catAx>
      <c:valAx>
        <c:axId val="4454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2108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Spotify Taylor Swift.xlsx]Pivot Table!PivotTable8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ID"/>
              <a:t>Average Popularity by Energy Level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Table'!$C$59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Table'!$B$60:$B$62</c:f>
              <c:strCache>
                <c:ptCount val="2"/>
                <c:pt idx="0">
                  <c:v>Low Energy</c:v>
                </c:pt>
                <c:pt idx="1">
                  <c:v>Medium Energy</c:v>
                </c:pt>
              </c:strCache>
            </c:strRef>
          </c:cat>
          <c:val>
            <c:numRef>
              <c:f>'Pivot Table'!$C$60:$C$62</c:f>
              <c:numCache>
                <c:formatCode>General</c:formatCode>
                <c:ptCount val="2"/>
                <c:pt idx="0">
                  <c:v>59.58307210031348</c:v>
                </c:pt>
                <c:pt idx="1">
                  <c:v>55.764258555133082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B-F246-B29E-103B9CCF3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272832"/>
        <c:axId val="167908416"/>
      </c:barChart>
      <c:catAx>
        <c:axId val="145272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7908416"/>
        <c:crosses val="autoZero"/>
        <c:auto val="1"/>
        <c:lblAlgn val="ctr"/>
        <c:lblOffset val="100"/>
        <c:noMultiLvlLbl val="0"/>
      </c:catAx>
      <c:valAx>
        <c:axId val="16790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2728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Spotify Taylor Swift.xlsx]Pivot Table!PivotTable9</c:name>
    <c:fmtId val="1"/>
  </c:pivotSource>
  <c:chart>
    <c:title>
      <c:tx>
        <c:rich>
          <a:bodyPr/>
          <a:lstStyle/>
          <a:p>
            <a:pPr>
              <a:defRPr sz="1600"/>
            </a:pPr>
            <a:r>
              <a:rPr lang="en-ID" sz="1600"/>
              <a:t>Mood Distribution in Recent Albums</a:t>
            </a:r>
            <a:endParaRPr lang="en-US" sz="1600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Table'!$C$65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Table'!$B$66:$B$69</c:f>
              <c:strCache>
                <c:ptCount val="3"/>
                <c:pt idx="0">
                  <c:v>Happy</c:v>
                </c:pt>
                <c:pt idx="1">
                  <c:v>Neutral</c:v>
                </c:pt>
                <c:pt idx="2">
                  <c:v>Sad</c:v>
                </c:pt>
              </c:strCache>
            </c:strRef>
          </c:cat>
          <c:val>
            <c:numRef>
              <c:f>'Pivot Table'!$C$66:$C$69</c:f>
              <c:numCache>
                <c:formatCode>General</c:formatCode>
                <c:ptCount val="3"/>
                <c:pt idx="0">
                  <c:v>6</c:v>
                </c:pt>
                <c:pt idx="1">
                  <c:v>36</c:v>
                </c:pt>
                <c:pt idx="2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2-E04D-9AFE-A025E694E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164416"/>
        <c:axId val="167057024"/>
      </c:barChart>
      <c:catAx>
        <c:axId val="175164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7057024"/>
        <c:crosses val="autoZero"/>
        <c:auto val="1"/>
        <c:lblAlgn val="ctr"/>
        <c:lblOffset val="100"/>
        <c:noMultiLvlLbl val="0"/>
      </c:catAx>
      <c:valAx>
        <c:axId val="167057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1644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Data'!$O$2</c:f>
              <c:strCache>
                <c:ptCount val="1"/>
                <c:pt idx="0">
                  <c:v>popularity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'Clean Data'!$F$3:$F$584</c:f>
              <c:strCache>
                <c:ptCount val="582"/>
                <c:pt idx="0">
                  <c:v>0,348611111</c:v>
                </c:pt>
                <c:pt idx="1">
                  <c:v>0,335416667</c:v>
                </c:pt>
                <c:pt idx="2">
                  <c:v>0,095138889</c:v>
                </c:pt>
                <c:pt idx="3">
                  <c:v>00:56</c:v>
                </c:pt>
                <c:pt idx="4">
                  <c:v>0,050694444</c:v>
                </c:pt>
                <c:pt idx="5">
                  <c:v>0,266666667</c:v>
                </c:pt>
                <c:pt idx="6">
                  <c:v>0,433333333</c:v>
                </c:pt>
                <c:pt idx="7">
                  <c:v>0,123611111</c:v>
                </c:pt>
                <c:pt idx="8">
                  <c:v>0,421527778</c:v>
                </c:pt>
                <c:pt idx="9">
                  <c:v>0,21875</c:v>
                </c:pt>
                <c:pt idx="10">
                  <c:v>0,533333333</c:v>
                </c:pt>
                <c:pt idx="11">
                  <c:v>0,595833333</c:v>
                </c:pt>
                <c:pt idx="12">
                  <c:v>0,085416667</c:v>
                </c:pt>
                <c:pt idx="13">
                  <c:v>00:52</c:v>
                </c:pt>
                <c:pt idx="14">
                  <c:v>0,293055556</c:v>
                </c:pt>
                <c:pt idx="15">
                  <c:v>0,441666667</c:v>
                </c:pt>
                <c:pt idx="16">
                  <c:v>0,490972222</c:v>
                </c:pt>
                <c:pt idx="17">
                  <c:v>0,422222222</c:v>
                </c:pt>
                <c:pt idx="18">
                  <c:v>0,454861111</c:v>
                </c:pt>
                <c:pt idx="19">
                  <c:v>0,054166667</c:v>
                </c:pt>
                <c:pt idx="20">
                  <c:v>0,545138889</c:v>
                </c:pt>
                <c:pt idx="21">
                  <c:v>0,190277778</c:v>
                </c:pt>
                <c:pt idx="22">
                  <c:v>0,497916667</c:v>
                </c:pt>
                <c:pt idx="23">
                  <c:v>0,422916667</c:v>
                </c:pt>
                <c:pt idx="24">
                  <c:v>0,047916667</c:v>
                </c:pt>
                <c:pt idx="25">
                  <c:v>0,572916667</c:v>
                </c:pt>
                <c:pt idx="26">
                  <c:v>0,559722222</c:v>
                </c:pt>
                <c:pt idx="27">
                  <c:v>0,559027778</c:v>
                </c:pt>
                <c:pt idx="28">
                  <c:v>0,443055556</c:v>
                </c:pt>
                <c:pt idx="29">
                  <c:v>0,549305556</c:v>
                </c:pt>
                <c:pt idx="30">
                  <c:v>0,625694444</c:v>
                </c:pt>
                <c:pt idx="31">
                  <c:v>0,348611111</c:v>
                </c:pt>
                <c:pt idx="32">
                  <c:v>0,335416667</c:v>
                </c:pt>
                <c:pt idx="33">
                  <c:v>0,095138889</c:v>
                </c:pt>
                <c:pt idx="34">
                  <c:v>00:56</c:v>
                </c:pt>
                <c:pt idx="35">
                  <c:v>0,050694444</c:v>
                </c:pt>
                <c:pt idx="36">
                  <c:v>0,266666667</c:v>
                </c:pt>
                <c:pt idx="37">
                  <c:v>0,433333333</c:v>
                </c:pt>
                <c:pt idx="38">
                  <c:v>0,123611111</c:v>
                </c:pt>
                <c:pt idx="39">
                  <c:v>0,421527778</c:v>
                </c:pt>
                <c:pt idx="40">
                  <c:v>0,21875</c:v>
                </c:pt>
                <c:pt idx="41">
                  <c:v>0,533333333</c:v>
                </c:pt>
                <c:pt idx="42">
                  <c:v>0,595833333</c:v>
                </c:pt>
                <c:pt idx="43">
                  <c:v>0,085416667</c:v>
                </c:pt>
                <c:pt idx="44">
                  <c:v>00:52</c:v>
                </c:pt>
                <c:pt idx="45">
                  <c:v>0,293055556</c:v>
                </c:pt>
                <c:pt idx="46">
                  <c:v>0,441666667</c:v>
                </c:pt>
                <c:pt idx="47">
                  <c:v>0.00661</c:v>
                </c:pt>
                <c:pt idx="48">
                  <c:v>0,625694444</c:v>
                </c:pt>
                <c:pt idx="49">
                  <c:v>0.000456</c:v>
                </c:pt>
                <c:pt idx="50">
                  <c:v>0.000466</c:v>
                </c:pt>
                <c:pt idx="51">
                  <c:v>0.000778</c:v>
                </c:pt>
                <c:pt idx="52">
                  <c:v>0,077777778</c:v>
                </c:pt>
                <c:pt idx="53">
                  <c:v>0.00388</c:v>
                </c:pt>
                <c:pt idx="54">
                  <c:v>0,25625</c:v>
                </c:pt>
                <c:pt idx="55">
                  <c:v>0,241666667</c:v>
                </c:pt>
                <c:pt idx="56">
                  <c:v>0.00198</c:v>
                </c:pt>
                <c:pt idx="57">
                  <c:v>0,209722222</c:v>
                </c:pt>
                <c:pt idx="58">
                  <c:v>0,5875</c:v>
                </c:pt>
                <c:pt idx="59">
                  <c:v>0,20625</c:v>
                </c:pt>
                <c:pt idx="60">
                  <c:v>0,072916667</c:v>
                </c:pt>
                <c:pt idx="61">
                  <c:v>0,397222222</c:v>
                </c:pt>
                <c:pt idx="62">
                  <c:v>0.00516</c:v>
                </c:pt>
                <c:pt idx="63">
                  <c:v>00:33</c:v>
                </c:pt>
                <c:pt idx="64">
                  <c:v>0,475</c:v>
                </c:pt>
                <c:pt idx="65">
                  <c:v>00:16</c:v>
                </c:pt>
                <c:pt idx="66">
                  <c:v>0,147222222</c:v>
                </c:pt>
                <c:pt idx="67">
                  <c:v>0,3375</c:v>
                </c:pt>
                <c:pt idx="68">
                  <c:v>0,099305556</c:v>
                </c:pt>
                <c:pt idx="69">
                  <c:v>0.00661</c:v>
                </c:pt>
                <c:pt idx="70">
                  <c:v>0,625694444</c:v>
                </c:pt>
                <c:pt idx="71">
                  <c:v>0.000456</c:v>
                </c:pt>
                <c:pt idx="72">
                  <c:v>0.000466</c:v>
                </c:pt>
                <c:pt idx="73">
                  <c:v>0.000778</c:v>
                </c:pt>
                <c:pt idx="74">
                  <c:v>0,077777778</c:v>
                </c:pt>
                <c:pt idx="75">
                  <c:v>0.00388</c:v>
                </c:pt>
                <c:pt idx="76">
                  <c:v>0,25625</c:v>
                </c:pt>
                <c:pt idx="77">
                  <c:v>0,241666667</c:v>
                </c:pt>
                <c:pt idx="78">
                  <c:v>0.00198</c:v>
                </c:pt>
                <c:pt idx="79">
                  <c:v>0,209722222</c:v>
                </c:pt>
                <c:pt idx="80">
                  <c:v>0,5875</c:v>
                </c:pt>
                <c:pt idx="81">
                  <c:v>0,20625</c:v>
                </c:pt>
                <c:pt idx="82">
                  <c:v>0,072916667</c:v>
                </c:pt>
                <c:pt idx="83">
                  <c:v>0,397222222</c:v>
                </c:pt>
                <c:pt idx="84">
                  <c:v>0.00516</c:v>
                </c:pt>
                <c:pt idx="85">
                  <c:v>00:33</c:v>
                </c:pt>
                <c:pt idx="86">
                  <c:v>0,475</c:v>
                </c:pt>
                <c:pt idx="87">
                  <c:v>00:16</c:v>
                </c:pt>
                <c:pt idx="88">
                  <c:v>0,147222222</c:v>
                </c:pt>
                <c:pt idx="89">
                  <c:v>0,3375</c:v>
                </c:pt>
                <c:pt idx="90">
                  <c:v>0.00314</c:v>
                </c:pt>
                <c:pt idx="91">
                  <c:v>0,167361111</c:v>
                </c:pt>
                <c:pt idx="92">
                  <c:v>0.00705</c:v>
                </c:pt>
                <c:pt idx="93">
                  <c:v>0,15625</c:v>
                </c:pt>
                <c:pt idx="94">
                  <c:v>0,227083333</c:v>
                </c:pt>
                <c:pt idx="95">
                  <c:v>0,222916667</c:v>
                </c:pt>
                <c:pt idx="96">
                  <c:v>0.00136</c:v>
                </c:pt>
                <c:pt idx="97">
                  <c:v>0,602083333</c:v>
                </c:pt>
                <c:pt idx="98">
                  <c:v>0.016</c:v>
                </c:pt>
                <c:pt idx="99">
                  <c:v>0.000795</c:v>
                </c:pt>
                <c:pt idx="100">
                  <c:v>0,675</c:v>
                </c:pt>
                <c:pt idx="101">
                  <c:v>0.00552</c:v>
                </c:pt>
                <c:pt idx="102">
                  <c:v>0,307638889</c:v>
                </c:pt>
                <c:pt idx="103">
                  <c:v>0,1125</c:v>
                </c:pt>
                <c:pt idx="104">
                  <c:v>00:42</c:v>
                </c:pt>
                <c:pt idx="105">
                  <c:v>0.00207</c:v>
                </c:pt>
                <c:pt idx="106">
                  <c:v>0.018</c:v>
                </c:pt>
                <c:pt idx="107">
                  <c:v>0,116666667</c:v>
                </c:pt>
                <c:pt idx="108">
                  <c:v>0,400694444</c:v>
                </c:pt>
                <c:pt idx="109">
                  <c:v>0,2375</c:v>
                </c:pt>
                <c:pt idx="110">
                  <c:v>0,415972222</c:v>
                </c:pt>
                <c:pt idx="111">
                  <c:v>0,230555556</c:v>
                </c:pt>
                <c:pt idx="112">
                  <c:v>00:23</c:v>
                </c:pt>
                <c:pt idx="113">
                  <c:v>0,440277778</c:v>
                </c:pt>
                <c:pt idx="114">
                  <c:v>0,084027778</c:v>
                </c:pt>
                <c:pt idx="115">
                  <c:v>0,486805556</c:v>
                </c:pt>
                <c:pt idx="116">
                  <c:v>0,310416667</c:v>
                </c:pt>
                <c:pt idx="117">
                  <c:v>0,049305556</c:v>
                </c:pt>
                <c:pt idx="118">
                  <c:v>0,143055556</c:v>
                </c:pt>
                <c:pt idx="119">
                  <c:v>0,115277778</c:v>
                </c:pt>
                <c:pt idx="120">
                  <c:v>0,411805556</c:v>
                </c:pt>
                <c:pt idx="121">
                  <c:v>0,553472222</c:v>
                </c:pt>
                <c:pt idx="122">
                  <c:v>0.062</c:v>
                </c:pt>
                <c:pt idx="123">
                  <c:v>0,672222222</c:v>
                </c:pt>
                <c:pt idx="124">
                  <c:v>0,392361111</c:v>
                </c:pt>
                <c:pt idx="125">
                  <c:v>0,138194444</c:v>
                </c:pt>
                <c:pt idx="126">
                  <c:v>0,584027778</c:v>
                </c:pt>
                <c:pt idx="127">
                  <c:v>0,071527778</c:v>
                </c:pt>
                <c:pt idx="128">
                  <c:v>0,488888889</c:v>
                </c:pt>
                <c:pt idx="129">
                  <c:v>0,218055556</c:v>
                </c:pt>
                <c:pt idx="130">
                  <c:v>0,272916667</c:v>
                </c:pt>
                <c:pt idx="131">
                  <c:v>0,322222222</c:v>
                </c:pt>
                <c:pt idx="132">
                  <c:v>0,093055556</c:v>
                </c:pt>
                <c:pt idx="133">
                  <c:v>0,553472222</c:v>
                </c:pt>
                <c:pt idx="134">
                  <c:v>0,398611111</c:v>
                </c:pt>
                <c:pt idx="135">
                  <c:v>00:23</c:v>
                </c:pt>
                <c:pt idx="136">
                  <c:v>0,440277778</c:v>
                </c:pt>
                <c:pt idx="137">
                  <c:v>0,084027778</c:v>
                </c:pt>
                <c:pt idx="138">
                  <c:v>0,486805556</c:v>
                </c:pt>
                <c:pt idx="139">
                  <c:v>0,310416667</c:v>
                </c:pt>
                <c:pt idx="140">
                  <c:v>0,049305556</c:v>
                </c:pt>
                <c:pt idx="141">
                  <c:v>0,143055556</c:v>
                </c:pt>
                <c:pt idx="142">
                  <c:v>0,115277778</c:v>
                </c:pt>
                <c:pt idx="143">
                  <c:v>0,411805556</c:v>
                </c:pt>
                <c:pt idx="144">
                  <c:v>0,553472222</c:v>
                </c:pt>
                <c:pt idx="145">
                  <c:v>0.062</c:v>
                </c:pt>
                <c:pt idx="146">
                  <c:v>0,672222222</c:v>
                </c:pt>
                <c:pt idx="147">
                  <c:v>0,392361111</c:v>
                </c:pt>
                <c:pt idx="148">
                  <c:v>0,138194444</c:v>
                </c:pt>
                <c:pt idx="149">
                  <c:v>0,584027778</c:v>
                </c:pt>
                <c:pt idx="150">
                  <c:v>0,071527778</c:v>
                </c:pt>
                <c:pt idx="151">
                  <c:v>0,488888889</c:v>
                </c:pt>
                <c:pt idx="152">
                  <c:v>0,218055556</c:v>
                </c:pt>
                <c:pt idx="153">
                  <c:v>0,272916667</c:v>
                </c:pt>
                <c:pt idx="154">
                  <c:v>0,322222222</c:v>
                </c:pt>
                <c:pt idx="155">
                  <c:v>00:23</c:v>
                </c:pt>
                <c:pt idx="156">
                  <c:v>0,440277778</c:v>
                </c:pt>
                <c:pt idx="157">
                  <c:v>0,084027778</c:v>
                </c:pt>
                <c:pt idx="158">
                  <c:v>0,486805556</c:v>
                </c:pt>
                <c:pt idx="159">
                  <c:v>0,310416667</c:v>
                </c:pt>
                <c:pt idx="160">
                  <c:v>0,049305556</c:v>
                </c:pt>
                <c:pt idx="161">
                  <c:v>0,143055556</c:v>
                </c:pt>
                <c:pt idx="162">
                  <c:v>0,115277778</c:v>
                </c:pt>
                <c:pt idx="163">
                  <c:v>0,411805556</c:v>
                </c:pt>
                <c:pt idx="164">
                  <c:v>0,553472222</c:v>
                </c:pt>
                <c:pt idx="165">
                  <c:v>0.062</c:v>
                </c:pt>
                <c:pt idx="166">
                  <c:v>0,672222222</c:v>
                </c:pt>
                <c:pt idx="167">
                  <c:v>0,392361111</c:v>
                </c:pt>
                <c:pt idx="168">
                  <c:v>0.000328</c:v>
                </c:pt>
                <c:pt idx="169">
                  <c:v>0.00108</c:v>
                </c:pt>
                <c:pt idx="170">
                  <c:v>0,238888889</c:v>
                </c:pt>
                <c:pt idx="171">
                  <c:v>0,089583333</c:v>
                </c:pt>
                <c:pt idx="172">
                  <c:v>0,11875</c:v>
                </c:pt>
                <c:pt idx="173">
                  <c:v>0.000443</c:v>
                </c:pt>
                <c:pt idx="174">
                  <c:v>0,115972222</c:v>
                </c:pt>
                <c:pt idx="175">
                  <c:v>0,220138889</c:v>
                </c:pt>
                <c:pt idx="176">
                  <c:v>0,588888889</c:v>
                </c:pt>
                <c:pt idx="177">
                  <c:v>0,277083333</c:v>
                </c:pt>
                <c:pt idx="178">
                  <c:v>0,2</c:v>
                </c:pt>
                <c:pt idx="179">
                  <c:v>0,431944444</c:v>
                </c:pt>
                <c:pt idx="180">
                  <c:v>0.066</c:v>
                </c:pt>
                <c:pt idx="181">
                  <c:v>0,188194444</c:v>
                </c:pt>
                <c:pt idx="182">
                  <c:v>0.00324</c:v>
                </c:pt>
                <c:pt idx="183">
                  <c:v>0.075</c:v>
                </c:pt>
                <c:pt idx="184">
                  <c:v>0,343055556</c:v>
                </c:pt>
                <c:pt idx="185">
                  <c:v>0,109722222</c:v>
                </c:pt>
                <c:pt idx="186">
                  <c:v>0.00955</c:v>
                </c:pt>
                <c:pt idx="187">
                  <c:v>0,460416667</c:v>
                </c:pt>
                <c:pt idx="188">
                  <c:v>0,459027778</c:v>
                </c:pt>
                <c:pt idx="189">
                  <c:v>0,148611111</c:v>
                </c:pt>
                <c:pt idx="190">
                  <c:v>0,567361111</c:v>
                </c:pt>
                <c:pt idx="191">
                  <c:v>0,373611111</c:v>
                </c:pt>
                <c:pt idx="192">
                  <c:v>0.00188</c:v>
                </c:pt>
                <c:pt idx="193">
                  <c:v>0,115972222</c:v>
                </c:pt>
                <c:pt idx="194">
                  <c:v>0,177777778</c:v>
                </c:pt>
                <c:pt idx="195">
                  <c:v>0,567361111</c:v>
                </c:pt>
                <c:pt idx="196">
                  <c:v>0.00115</c:v>
                </c:pt>
                <c:pt idx="197">
                  <c:v>0,190277778</c:v>
                </c:pt>
                <c:pt idx="198">
                  <c:v>0,084722222</c:v>
                </c:pt>
                <c:pt idx="199">
                  <c:v>0,080555556</c:v>
                </c:pt>
                <c:pt idx="200">
                  <c:v>00:13</c:v>
                </c:pt>
                <c:pt idx="201">
                  <c:v>0,073611111</c:v>
                </c:pt>
                <c:pt idx="202">
                  <c:v>0,25625</c:v>
                </c:pt>
                <c:pt idx="203">
                  <c:v>0,432638889</c:v>
                </c:pt>
                <c:pt idx="204">
                  <c:v>0,108333333</c:v>
                </c:pt>
                <c:pt idx="205">
                  <c:v>0,154166667</c:v>
                </c:pt>
                <c:pt idx="206">
                  <c:v>0,373611111</c:v>
                </c:pt>
                <c:pt idx="207">
                  <c:v>0.0033</c:v>
                </c:pt>
                <c:pt idx="208">
                  <c:v>0,160416667</c:v>
                </c:pt>
                <c:pt idx="209">
                  <c:v>0,338888889</c:v>
                </c:pt>
                <c:pt idx="210">
                  <c:v>0.000191</c:v>
                </c:pt>
                <c:pt idx="211">
                  <c:v>0,329166667</c:v>
                </c:pt>
                <c:pt idx="212">
                  <c:v>0,125694444</c:v>
                </c:pt>
                <c:pt idx="213">
                  <c:v>0,56875</c:v>
                </c:pt>
                <c:pt idx="214">
                  <c:v>0,281944444</c:v>
                </c:pt>
                <c:pt idx="215">
                  <c:v>0,109027778</c:v>
                </c:pt>
                <c:pt idx="216">
                  <c:v>0,19375</c:v>
                </c:pt>
                <c:pt idx="217">
                  <c:v>0,09375</c:v>
                </c:pt>
                <c:pt idx="218">
                  <c:v>0,566666667</c:v>
                </c:pt>
                <c:pt idx="219">
                  <c:v>0,1125</c:v>
                </c:pt>
                <c:pt idx="220">
                  <c:v>0,589583333</c:v>
                </c:pt>
                <c:pt idx="221">
                  <c:v>0,15625</c:v>
                </c:pt>
                <c:pt idx="222">
                  <c:v>0,356944444</c:v>
                </c:pt>
                <c:pt idx="223">
                  <c:v>0,231944444</c:v>
                </c:pt>
                <c:pt idx="224">
                  <c:v>0,578472222</c:v>
                </c:pt>
                <c:pt idx="225">
                  <c:v>0,063888889</c:v>
                </c:pt>
                <c:pt idx="226">
                  <c:v>0,057638889</c:v>
                </c:pt>
                <c:pt idx="227">
                  <c:v>0,510416667</c:v>
                </c:pt>
                <c:pt idx="228">
                  <c:v>0,609722222</c:v>
                </c:pt>
                <c:pt idx="229">
                  <c:v>0,290277778</c:v>
                </c:pt>
                <c:pt idx="230">
                  <c:v>0,060416667</c:v>
                </c:pt>
                <c:pt idx="231">
                  <c:v>0,483333333</c:v>
                </c:pt>
                <c:pt idx="232">
                  <c:v>0,56875</c:v>
                </c:pt>
                <c:pt idx="233">
                  <c:v>0,59375</c:v>
                </c:pt>
                <c:pt idx="234">
                  <c:v>0,533333333</c:v>
                </c:pt>
                <c:pt idx="235">
                  <c:v>0,045833333</c:v>
                </c:pt>
                <c:pt idx="236">
                  <c:v>0,608333333</c:v>
                </c:pt>
                <c:pt idx="237">
                  <c:v>0,579861111</c:v>
                </c:pt>
                <c:pt idx="238">
                  <c:v>0,650694444</c:v>
                </c:pt>
                <c:pt idx="239">
                  <c:v>0,534027778</c:v>
                </c:pt>
                <c:pt idx="240">
                  <c:v>0,55625</c:v>
                </c:pt>
                <c:pt idx="241">
                  <c:v>0,578472222</c:v>
                </c:pt>
                <c:pt idx="242">
                  <c:v>0,063888889</c:v>
                </c:pt>
                <c:pt idx="243">
                  <c:v>0,057638889</c:v>
                </c:pt>
                <c:pt idx="244">
                  <c:v>0,510416667</c:v>
                </c:pt>
                <c:pt idx="245">
                  <c:v>0,609722222</c:v>
                </c:pt>
                <c:pt idx="246">
                  <c:v>0,290277778</c:v>
                </c:pt>
                <c:pt idx="247">
                  <c:v>0,060416667</c:v>
                </c:pt>
                <c:pt idx="248">
                  <c:v>0,483333333</c:v>
                </c:pt>
                <c:pt idx="249">
                  <c:v>0,56875</c:v>
                </c:pt>
                <c:pt idx="250">
                  <c:v>0,59375</c:v>
                </c:pt>
                <c:pt idx="251">
                  <c:v>0,533333333</c:v>
                </c:pt>
                <c:pt idx="252">
                  <c:v>0,045833333</c:v>
                </c:pt>
                <c:pt idx="253">
                  <c:v>0,608333333</c:v>
                </c:pt>
                <c:pt idx="254">
                  <c:v>0,579861111</c:v>
                </c:pt>
                <c:pt idx="255">
                  <c:v>0,650694444</c:v>
                </c:pt>
                <c:pt idx="256">
                  <c:v>0,052083333</c:v>
                </c:pt>
                <c:pt idx="257">
                  <c:v>0,364583333</c:v>
                </c:pt>
                <c:pt idx="258">
                  <c:v>0,334027778</c:v>
                </c:pt>
                <c:pt idx="259">
                  <c:v>0,528472222</c:v>
                </c:pt>
                <c:pt idx="260">
                  <c:v>0,565277778</c:v>
                </c:pt>
                <c:pt idx="261">
                  <c:v>0,476388889</c:v>
                </c:pt>
                <c:pt idx="262">
                  <c:v>0,616666667</c:v>
                </c:pt>
                <c:pt idx="263">
                  <c:v>0,384027778</c:v>
                </c:pt>
                <c:pt idx="264">
                  <c:v>0,216666667</c:v>
                </c:pt>
                <c:pt idx="265">
                  <c:v>0,598611111</c:v>
                </c:pt>
                <c:pt idx="266">
                  <c:v>0,596527778</c:v>
                </c:pt>
                <c:pt idx="267">
                  <c:v>0,046527778</c:v>
                </c:pt>
                <c:pt idx="268">
                  <c:v>0,504861111</c:v>
                </c:pt>
                <c:pt idx="269">
                  <c:v>0,409027778</c:v>
                </c:pt>
                <c:pt idx="270">
                  <c:v>0,636111111</c:v>
                </c:pt>
                <c:pt idx="271">
                  <c:v>0,669444444</c:v>
                </c:pt>
                <c:pt idx="272">
                  <c:v>0,584722222</c:v>
                </c:pt>
                <c:pt idx="273">
                  <c:v>0,623611111</c:v>
                </c:pt>
                <c:pt idx="274">
                  <c:v>0,061111111</c:v>
                </c:pt>
                <c:pt idx="275">
                  <c:v>0,515972222</c:v>
                </c:pt>
                <c:pt idx="276">
                  <c:v>0,588888889</c:v>
                </c:pt>
                <c:pt idx="277">
                  <c:v>0,656944444</c:v>
                </c:pt>
                <c:pt idx="278">
                  <c:v>0,054166667</c:v>
                </c:pt>
                <c:pt idx="279">
                  <c:v>0,634722222</c:v>
                </c:pt>
                <c:pt idx="280">
                  <c:v>00:05</c:v>
                </c:pt>
                <c:pt idx="281">
                  <c:v>0,644444444</c:v>
                </c:pt>
                <c:pt idx="282">
                  <c:v>0,613194444</c:v>
                </c:pt>
                <c:pt idx="283">
                  <c:v>0,654166667</c:v>
                </c:pt>
                <c:pt idx="284">
                  <c:v>0,615972222</c:v>
                </c:pt>
                <c:pt idx="285">
                  <c:v>0,636111111</c:v>
                </c:pt>
                <c:pt idx="286">
                  <c:v>0,584027778</c:v>
                </c:pt>
                <c:pt idx="287">
                  <c:v>0,064583333</c:v>
                </c:pt>
                <c:pt idx="288">
                  <c:v>0,668055556</c:v>
                </c:pt>
                <c:pt idx="289">
                  <c:v>0,551388889</c:v>
                </c:pt>
                <c:pt idx="290">
                  <c:v>0,052083333</c:v>
                </c:pt>
                <c:pt idx="291">
                  <c:v>0,364583333</c:v>
                </c:pt>
                <c:pt idx="292">
                  <c:v>0,334027778</c:v>
                </c:pt>
                <c:pt idx="293">
                  <c:v>0,528472222</c:v>
                </c:pt>
                <c:pt idx="294">
                  <c:v>0,565277778</c:v>
                </c:pt>
                <c:pt idx="295">
                  <c:v>0,476388889</c:v>
                </c:pt>
                <c:pt idx="296">
                  <c:v>0,616666667</c:v>
                </c:pt>
                <c:pt idx="297">
                  <c:v>0,384027778</c:v>
                </c:pt>
                <c:pt idx="298">
                  <c:v>0,216666667</c:v>
                </c:pt>
                <c:pt idx="299">
                  <c:v>0,598611111</c:v>
                </c:pt>
                <c:pt idx="300">
                  <c:v>0,596527778</c:v>
                </c:pt>
                <c:pt idx="301">
                  <c:v>0,046527778</c:v>
                </c:pt>
                <c:pt idx="302">
                  <c:v>0,504861111</c:v>
                </c:pt>
                <c:pt idx="303">
                  <c:v>0,409027778</c:v>
                </c:pt>
                <c:pt idx="304">
                  <c:v>0,636111111</c:v>
                </c:pt>
                <c:pt idx="305">
                  <c:v>0,669444444</c:v>
                </c:pt>
                <c:pt idx="306">
                  <c:v>0,584722222</c:v>
                </c:pt>
                <c:pt idx="307">
                  <c:v>0,525694444</c:v>
                </c:pt>
                <c:pt idx="308">
                  <c:v>0,372916667</c:v>
                </c:pt>
                <c:pt idx="309">
                  <c:v>0,324305556</c:v>
                </c:pt>
                <c:pt idx="310">
                  <c:v>0,540277778</c:v>
                </c:pt>
                <c:pt idx="311">
                  <c:v>0,559722222</c:v>
                </c:pt>
                <c:pt idx="312">
                  <c:v>0,477083333</c:v>
                </c:pt>
                <c:pt idx="313">
                  <c:v>00:09</c:v>
                </c:pt>
                <c:pt idx="314">
                  <c:v>0,373611111</c:v>
                </c:pt>
                <c:pt idx="315">
                  <c:v>0,218055556</c:v>
                </c:pt>
                <c:pt idx="316">
                  <c:v>0,611805556</c:v>
                </c:pt>
                <c:pt idx="317">
                  <c:v>0,581944444</c:v>
                </c:pt>
                <c:pt idx="318">
                  <c:v>0,454861111</c:v>
                </c:pt>
                <c:pt idx="319">
                  <c:v>0,507638889</c:v>
                </c:pt>
                <c:pt idx="320">
                  <c:v>00:06</c:v>
                </c:pt>
                <c:pt idx="321">
                  <c:v>0,6375</c:v>
                </c:pt>
                <c:pt idx="322">
                  <c:v>0,670833333</c:v>
                </c:pt>
                <c:pt idx="323">
                  <c:v>0,206944444</c:v>
                </c:pt>
                <c:pt idx="324">
                  <c:v>0,08125</c:v>
                </c:pt>
                <c:pt idx="325">
                  <c:v>0,341666667</c:v>
                </c:pt>
                <c:pt idx="326">
                  <c:v>0,532638889</c:v>
                </c:pt>
                <c:pt idx="327">
                  <c:v>00:12</c:v>
                </c:pt>
                <c:pt idx="328">
                  <c:v>0.00889</c:v>
                </c:pt>
                <c:pt idx="329">
                  <c:v>0.028</c:v>
                </c:pt>
                <c:pt idx="330">
                  <c:v>0,089583333</c:v>
                </c:pt>
                <c:pt idx="331">
                  <c:v>0,542361111</c:v>
                </c:pt>
                <c:pt idx="332">
                  <c:v>0,315277778</c:v>
                </c:pt>
                <c:pt idx="333">
                  <c:v>0,170833333</c:v>
                </c:pt>
                <c:pt idx="334">
                  <c:v>0,629861111</c:v>
                </c:pt>
                <c:pt idx="335">
                  <c:v>0,511111111</c:v>
                </c:pt>
                <c:pt idx="336">
                  <c:v>0.00929</c:v>
                </c:pt>
                <c:pt idx="337">
                  <c:v>00:13</c:v>
                </c:pt>
                <c:pt idx="338">
                  <c:v>0.033</c:v>
                </c:pt>
                <c:pt idx="339">
                  <c:v>0,674305556</c:v>
                </c:pt>
                <c:pt idx="340">
                  <c:v>0,561111111</c:v>
                </c:pt>
                <c:pt idx="341">
                  <c:v>0,365972222</c:v>
                </c:pt>
                <c:pt idx="342">
                  <c:v>0.00845</c:v>
                </c:pt>
                <c:pt idx="343">
                  <c:v>0,471527778</c:v>
                </c:pt>
                <c:pt idx="344">
                  <c:v>0,073611111</c:v>
                </c:pt>
                <c:pt idx="345">
                  <c:v>0,15</c:v>
                </c:pt>
                <c:pt idx="346">
                  <c:v>0,141666667</c:v>
                </c:pt>
                <c:pt idx="347">
                  <c:v>0,084722222</c:v>
                </c:pt>
                <c:pt idx="348">
                  <c:v>0,495138889</c:v>
                </c:pt>
                <c:pt idx="349">
                  <c:v>0.00465</c:v>
                </c:pt>
                <c:pt idx="350">
                  <c:v>0.00882</c:v>
                </c:pt>
                <c:pt idx="351">
                  <c:v>0,419444444</c:v>
                </c:pt>
                <c:pt idx="352">
                  <c:v>0,228472222</c:v>
                </c:pt>
                <c:pt idx="353">
                  <c:v>0,108333333</c:v>
                </c:pt>
                <c:pt idx="354">
                  <c:v>0,129166667</c:v>
                </c:pt>
                <c:pt idx="355">
                  <c:v>0,639583333</c:v>
                </c:pt>
                <c:pt idx="356">
                  <c:v>0,311111111</c:v>
                </c:pt>
                <c:pt idx="357">
                  <c:v>0,488194444</c:v>
                </c:pt>
                <c:pt idx="358">
                  <c:v>0,443055556</c:v>
                </c:pt>
                <c:pt idx="359">
                  <c:v>0,540972222</c:v>
                </c:pt>
                <c:pt idx="360">
                  <c:v>0,110416667</c:v>
                </c:pt>
                <c:pt idx="361">
                  <c:v>0,21875</c:v>
                </c:pt>
                <c:pt idx="362">
                  <c:v>0,079166667</c:v>
                </c:pt>
                <c:pt idx="363">
                  <c:v>0.00254</c:v>
                </c:pt>
                <c:pt idx="364">
                  <c:v>0.00476</c:v>
                </c:pt>
                <c:pt idx="365">
                  <c:v>0.059</c:v>
                </c:pt>
                <c:pt idx="366">
                  <c:v>0,311805556</c:v>
                </c:pt>
                <c:pt idx="367">
                  <c:v>0.00363</c:v>
                </c:pt>
                <c:pt idx="368">
                  <c:v>0,084722222</c:v>
                </c:pt>
                <c:pt idx="369">
                  <c:v>00:07</c:v>
                </c:pt>
                <c:pt idx="370">
                  <c:v>0.00311</c:v>
                </c:pt>
                <c:pt idx="371">
                  <c:v>0.041</c:v>
                </c:pt>
                <c:pt idx="372">
                  <c:v>0.000182</c:v>
                </c:pt>
                <c:pt idx="373">
                  <c:v>0,454861111</c:v>
                </c:pt>
                <c:pt idx="374">
                  <c:v>0,572222222</c:v>
                </c:pt>
                <c:pt idx="375">
                  <c:v>0,070138889</c:v>
                </c:pt>
                <c:pt idx="376">
                  <c:v>0,153472222</c:v>
                </c:pt>
                <c:pt idx="377">
                  <c:v>0,241666667</c:v>
                </c:pt>
                <c:pt idx="378">
                  <c:v>0,264583333</c:v>
                </c:pt>
                <c:pt idx="379">
                  <c:v>0,490972222</c:v>
                </c:pt>
                <c:pt idx="380">
                  <c:v>0.00418</c:v>
                </c:pt>
                <c:pt idx="381">
                  <c:v>0,325694444</c:v>
                </c:pt>
                <c:pt idx="382">
                  <c:v>0.000743</c:v>
                </c:pt>
                <c:pt idx="383">
                  <c:v>0.00471</c:v>
                </c:pt>
                <c:pt idx="384">
                  <c:v>0,4</c:v>
                </c:pt>
                <c:pt idx="385">
                  <c:v>0,471527778</c:v>
                </c:pt>
                <c:pt idx="386">
                  <c:v>0,244444444</c:v>
                </c:pt>
                <c:pt idx="387">
                  <c:v>00:56</c:v>
                </c:pt>
                <c:pt idx="388">
                  <c:v>0,288888889</c:v>
                </c:pt>
                <c:pt idx="389">
                  <c:v>0,084027778</c:v>
                </c:pt>
                <c:pt idx="390">
                  <c:v>0,078472222</c:v>
                </c:pt>
                <c:pt idx="391">
                  <c:v>0,136805556</c:v>
                </c:pt>
                <c:pt idx="392">
                  <c:v>0,363194444</c:v>
                </c:pt>
                <c:pt idx="393">
                  <c:v>0.00556</c:v>
                </c:pt>
                <c:pt idx="394">
                  <c:v>0,559027778</c:v>
                </c:pt>
                <c:pt idx="395">
                  <c:v>0,132638889</c:v>
                </c:pt>
                <c:pt idx="396">
                  <c:v>0,688194444</c:v>
                </c:pt>
                <c:pt idx="397">
                  <c:v>0,342361111</c:v>
                </c:pt>
                <c:pt idx="398">
                  <c:v>0,215972222</c:v>
                </c:pt>
                <c:pt idx="399">
                  <c:v>0.00454</c:v>
                </c:pt>
                <c:pt idx="400">
                  <c:v>0,129166667</c:v>
                </c:pt>
                <c:pt idx="401">
                  <c:v>0,16875</c:v>
                </c:pt>
                <c:pt idx="402">
                  <c:v>0,241666667</c:v>
                </c:pt>
                <c:pt idx="403">
                  <c:v>0,071527778</c:v>
                </c:pt>
                <c:pt idx="404">
                  <c:v>0.00245</c:v>
                </c:pt>
                <c:pt idx="405">
                  <c:v>0.000743</c:v>
                </c:pt>
                <c:pt idx="406">
                  <c:v>0.00201</c:v>
                </c:pt>
                <c:pt idx="407">
                  <c:v>0,449305556</c:v>
                </c:pt>
                <c:pt idx="408">
                  <c:v>0,109722222</c:v>
                </c:pt>
                <c:pt idx="409">
                  <c:v>0,614583333</c:v>
                </c:pt>
                <c:pt idx="410">
                  <c:v>0,480555556</c:v>
                </c:pt>
                <c:pt idx="411">
                  <c:v>0.00364</c:v>
                </c:pt>
                <c:pt idx="412">
                  <c:v>0,470833333</c:v>
                </c:pt>
                <c:pt idx="413">
                  <c:v>0,170138889</c:v>
                </c:pt>
                <c:pt idx="414">
                  <c:v>0,161111111</c:v>
                </c:pt>
                <c:pt idx="415">
                  <c:v>0,342361111</c:v>
                </c:pt>
                <c:pt idx="416">
                  <c:v>0,490972222</c:v>
                </c:pt>
                <c:pt idx="417">
                  <c:v>0.00463</c:v>
                </c:pt>
                <c:pt idx="418">
                  <c:v>0,575694444</c:v>
                </c:pt>
                <c:pt idx="419">
                  <c:v>0,497916667</c:v>
                </c:pt>
                <c:pt idx="420">
                  <c:v>0,55625</c:v>
                </c:pt>
                <c:pt idx="421">
                  <c:v>0.038</c:v>
                </c:pt>
                <c:pt idx="422">
                  <c:v>0.085</c:v>
                </c:pt>
                <c:pt idx="423">
                  <c:v>0.00256</c:v>
                </c:pt>
                <c:pt idx="424">
                  <c:v>0.00103</c:v>
                </c:pt>
                <c:pt idx="425">
                  <c:v>0.00196</c:v>
                </c:pt>
                <c:pt idx="426">
                  <c:v>0,389583333</c:v>
                </c:pt>
                <c:pt idx="427">
                  <c:v>0.016</c:v>
                </c:pt>
                <c:pt idx="428">
                  <c:v>0,604861111</c:v>
                </c:pt>
                <c:pt idx="429">
                  <c:v>0,492361111</c:v>
                </c:pt>
                <c:pt idx="430">
                  <c:v>0.00463</c:v>
                </c:pt>
                <c:pt idx="431">
                  <c:v>0,440972222</c:v>
                </c:pt>
                <c:pt idx="432">
                  <c:v>0,160416667</c:v>
                </c:pt>
                <c:pt idx="433">
                  <c:v>0,168055556</c:v>
                </c:pt>
                <c:pt idx="434">
                  <c:v>0.000197</c:v>
                </c:pt>
                <c:pt idx="435">
                  <c:v>0,536805556</c:v>
                </c:pt>
                <c:pt idx="436">
                  <c:v>0,070138889</c:v>
                </c:pt>
                <c:pt idx="437">
                  <c:v>0.00454</c:v>
                </c:pt>
                <c:pt idx="438">
                  <c:v>0,265277778</c:v>
                </c:pt>
                <c:pt idx="439">
                  <c:v>0.00215</c:v>
                </c:pt>
                <c:pt idx="440">
                  <c:v>0,120138889</c:v>
                </c:pt>
                <c:pt idx="441">
                  <c:v>0.00957</c:v>
                </c:pt>
                <c:pt idx="442">
                  <c:v>0,213194444</c:v>
                </c:pt>
                <c:pt idx="443">
                  <c:v>0.035</c:v>
                </c:pt>
                <c:pt idx="444">
                  <c:v>0,1125</c:v>
                </c:pt>
                <c:pt idx="445">
                  <c:v>0,438888889</c:v>
                </c:pt>
                <c:pt idx="446">
                  <c:v>0,257638889</c:v>
                </c:pt>
                <c:pt idx="447">
                  <c:v>00:36</c:v>
                </c:pt>
                <c:pt idx="448">
                  <c:v>0,147916667</c:v>
                </c:pt>
                <c:pt idx="449">
                  <c:v>0,138194444</c:v>
                </c:pt>
                <c:pt idx="450">
                  <c:v>0,129861111</c:v>
                </c:pt>
                <c:pt idx="451">
                  <c:v>0.00471</c:v>
                </c:pt>
                <c:pt idx="452">
                  <c:v>0,188888889</c:v>
                </c:pt>
                <c:pt idx="453">
                  <c:v>0,121527778</c:v>
                </c:pt>
                <c:pt idx="454">
                  <c:v>0,078472222</c:v>
                </c:pt>
                <c:pt idx="455">
                  <c:v>0,461111111</c:v>
                </c:pt>
                <c:pt idx="456">
                  <c:v>0.000197</c:v>
                </c:pt>
                <c:pt idx="457">
                  <c:v>0,536805556</c:v>
                </c:pt>
                <c:pt idx="458">
                  <c:v>0,070138889</c:v>
                </c:pt>
                <c:pt idx="459">
                  <c:v>0.00454</c:v>
                </c:pt>
                <c:pt idx="460">
                  <c:v>0,265277778</c:v>
                </c:pt>
                <c:pt idx="461">
                  <c:v>0.00215</c:v>
                </c:pt>
                <c:pt idx="462">
                  <c:v>0,120138889</c:v>
                </c:pt>
                <c:pt idx="463">
                  <c:v>0.00957</c:v>
                </c:pt>
                <c:pt idx="464">
                  <c:v>0,213194444</c:v>
                </c:pt>
                <c:pt idx="465">
                  <c:v>0.035</c:v>
                </c:pt>
                <c:pt idx="466">
                  <c:v>0,1125</c:v>
                </c:pt>
                <c:pt idx="467">
                  <c:v>0,438888889</c:v>
                </c:pt>
                <c:pt idx="468">
                  <c:v>0,257638889</c:v>
                </c:pt>
                <c:pt idx="469">
                  <c:v>00:36</c:v>
                </c:pt>
                <c:pt idx="470">
                  <c:v>0,147916667</c:v>
                </c:pt>
                <c:pt idx="471">
                  <c:v>0,138194444</c:v>
                </c:pt>
                <c:pt idx="472">
                  <c:v>0.00917</c:v>
                </c:pt>
                <c:pt idx="473">
                  <c:v>0.00233</c:v>
                </c:pt>
                <c:pt idx="474">
                  <c:v>0.00048</c:v>
                </c:pt>
                <c:pt idx="475">
                  <c:v>0,106944444</c:v>
                </c:pt>
                <c:pt idx="476">
                  <c:v>0,496527778</c:v>
                </c:pt>
                <c:pt idx="477">
                  <c:v>0,107638889</c:v>
                </c:pt>
                <c:pt idx="478">
                  <c:v>0.00306</c:v>
                </c:pt>
                <c:pt idx="479">
                  <c:v>0,441666667</c:v>
                </c:pt>
                <c:pt idx="480">
                  <c:v>0,142361111</c:v>
                </c:pt>
                <c:pt idx="481">
                  <c:v>0,559722222</c:v>
                </c:pt>
                <c:pt idx="482">
                  <c:v>0,495138889</c:v>
                </c:pt>
                <c:pt idx="483">
                  <c:v>0,551388889</c:v>
                </c:pt>
                <c:pt idx="484">
                  <c:v>0,109027778</c:v>
                </c:pt>
                <c:pt idx="485">
                  <c:v>0,51875</c:v>
                </c:pt>
                <c:pt idx="486">
                  <c:v>0,170138889</c:v>
                </c:pt>
                <c:pt idx="487">
                  <c:v>0.0053</c:v>
                </c:pt>
                <c:pt idx="488">
                  <c:v>0.00461</c:v>
                </c:pt>
                <c:pt idx="489">
                  <c:v>0,26875</c:v>
                </c:pt>
                <c:pt idx="490">
                  <c:v>0,140277778</c:v>
                </c:pt>
                <c:pt idx="491">
                  <c:v>0,070138889</c:v>
                </c:pt>
                <c:pt idx="492">
                  <c:v>0,127083333</c:v>
                </c:pt>
                <c:pt idx="493">
                  <c:v>0,309027778</c:v>
                </c:pt>
                <c:pt idx="494">
                  <c:v>0.000315</c:v>
                </c:pt>
                <c:pt idx="495">
                  <c:v>0,575694444</c:v>
                </c:pt>
                <c:pt idx="496">
                  <c:v>0,497222222</c:v>
                </c:pt>
                <c:pt idx="497">
                  <c:v>0,115972222</c:v>
                </c:pt>
                <c:pt idx="498">
                  <c:v>0,140277778</c:v>
                </c:pt>
                <c:pt idx="499">
                  <c:v>0,534027778</c:v>
                </c:pt>
                <c:pt idx="500">
                  <c:v>0,403472222</c:v>
                </c:pt>
                <c:pt idx="501">
                  <c:v>0,295833333</c:v>
                </c:pt>
                <c:pt idx="502">
                  <c:v>0.00461</c:v>
                </c:pt>
                <c:pt idx="503">
                  <c:v>0,26875</c:v>
                </c:pt>
                <c:pt idx="504">
                  <c:v>0,140277778</c:v>
                </c:pt>
                <c:pt idx="505">
                  <c:v>0,070138889</c:v>
                </c:pt>
                <c:pt idx="506">
                  <c:v>0,127083333</c:v>
                </c:pt>
                <c:pt idx="507">
                  <c:v>0,309027778</c:v>
                </c:pt>
                <c:pt idx="508">
                  <c:v>0.000315</c:v>
                </c:pt>
                <c:pt idx="509">
                  <c:v>0,575694444</c:v>
                </c:pt>
                <c:pt idx="510">
                  <c:v>0,497222222</c:v>
                </c:pt>
                <c:pt idx="511">
                  <c:v>0,115972222</c:v>
                </c:pt>
                <c:pt idx="512">
                  <c:v>0,140277778</c:v>
                </c:pt>
                <c:pt idx="513">
                  <c:v>0,534027778</c:v>
                </c:pt>
                <c:pt idx="514">
                  <c:v>0,403472222</c:v>
                </c:pt>
                <c:pt idx="515">
                  <c:v>0,295833333</c:v>
                </c:pt>
                <c:pt idx="516">
                  <c:v>0,350694444</c:v>
                </c:pt>
                <c:pt idx="517">
                  <c:v>0,106944444</c:v>
                </c:pt>
                <c:pt idx="518">
                  <c:v>0,129861111</c:v>
                </c:pt>
                <c:pt idx="519">
                  <c:v>0,507638889</c:v>
                </c:pt>
                <c:pt idx="520">
                  <c:v>0,584027778</c:v>
                </c:pt>
                <c:pt idx="521">
                  <c:v>0.00327</c:v>
                </c:pt>
                <c:pt idx="522">
                  <c:v>0,078472222</c:v>
                </c:pt>
                <c:pt idx="523">
                  <c:v>0.00487</c:v>
                </c:pt>
                <c:pt idx="524">
                  <c:v>0,077083333</c:v>
                </c:pt>
                <c:pt idx="525">
                  <c:v>0,404861111</c:v>
                </c:pt>
                <c:pt idx="526">
                  <c:v>0,591666667</c:v>
                </c:pt>
                <c:pt idx="527">
                  <c:v>0,667361111</c:v>
                </c:pt>
                <c:pt idx="528">
                  <c:v>0,254861111</c:v>
                </c:pt>
                <c:pt idx="529">
                  <c:v>0,117361111</c:v>
                </c:pt>
                <c:pt idx="530">
                  <c:v>0,252777778</c:v>
                </c:pt>
                <c:pt idx="531">
                  <c:v>0,505555556</c:v>
                </c:pt>
                <c:pt idx="532">
                  <c:v>0,109027778</c:v>
                </c:pt>
                <c:pt idx="533">
                  <c:v>0,116666667</c:v>
                </c:pt>
                <c:pt idx="534">
                  <c:v>0,209722222</c:v>
                </c:pt>
                <c:pt idx="535">
                  <c:v>0,113888889</c:v>
                </c:pt>
                <c:pt idx="536">
                  <c:v>0,259027778</c:v>
                </c:pt>
                <c:pt idx="537">
                  <c:v>0,420833333</c:v>
                </c:pt>
                <c:pt idx="538">
                  <c:v>00:13</c:v>
                </c:pt>
                <c:pt idx="539">
                  <c:v>0,223611111</c:v>
                </c:pt>
                <c:pt idx="540">
                  <c:v>0,629861111</c:v>
                </c:pt>
                <c:pt idx="541">
                  <c:v>0,424305556</c:v>
                </c:pt>
                <c:pt idx="542">
                  <c:v>0.00471</c:v>
                </c:pt>
                <c:pt idx="543">
                  <c:v>0,311805556</c:v>
                </c:pt>
                <c:pt idx="544">
                  <c:v>0.072</c:v>
                </c:pt>
                <c:pt idx="545">
                  <c:v>0,129166667</c:v>
                </c:pt>
                <c:pt idx="546">
                  <c:v>0,120833333</c:v>
                </c:pt>
                <c:pt idx="547">
                  <c:v>0,206944444</c:v>
                </c:pt>
                <c:pt idx="548">
                  <c:v>0,104861111</c:v>
                </c:pt>
                <c:pt idx="549">
                  <c:v>0,270138889</c:v>
                </c:pt>
                <c:pt idx="550">
                  <c:v>0,424305556</c:v>
                </c:pt>
                <c:pt idx="551">
                  <c:v>0,100694444</c:v>
                </c:pt>
                <c:pt idx="552">
                  <c:v>0,21875</c:v>
                </c:pt>
                <c:pt idx="553">
                  <c:v>0,547222222</c:v>
                </c:pt>
                <c:pt idx="554">
                  <c:v>0,45</c:v>
                </c:pt>
                <c:pt idx="555">
                  <c:v>0.00465</c:v>
                </c:pt>
                <c:pt idx="556">
                  <c:v>0.00739</c:v>
                </c:pt>
                <c:pt idx="557">
                  <c:v>0,123611111</c:v>
                </c:pt>
                <c:pt idx="558">
                  <c:v>0.00505</c:v>
                </c:pt>
                <c:pt idx="559">
                  <c:v>0,457638889</c:v>
                </c:pt>
                <c:pt idx="560">
                  <c:v>0,565277778</c:v>
                </c:pt>
                <c:pt idx="561">
                  <c:v>0,413888889</c:v>
                </c:pt>
                <c:pt idx="562">
                  <c:v>0,594444444</c:v>
                </c:pt>
                <c:pt idx="563">
                  <c:v>0,461111111</c:v>
                </c:pt>
                <c:pt idx="564">
                  <c:v>0,184722222</c:v>
                </c:pt>
                <c:pt idx="565">
                  <c:v>0,277083333</c:v>
                </c:pt>
                <c:pt idx="566">
                  <c:v>0,108333333</c:v>
                </c:pt>
                <c:pt idx="567">
                  <c:v>0,399305556</c:v>
                </c:pt>
                <c:pt idx="568">
                  <c:v>0,120138889</c:v>
                </c:pt>
                <c:pt idx="569">
                  <c:v>0,2</c:v>
                </c:pt>
                <c:pt idx="570">
                  <c:v>0.051</c:v>
                </c:pt>
                <c:pt idx="571">
                  <c:v>0,150694444</c:v>
                </c:pt>
                <c:pt idx="572">
                  <c:v>0.00491</c:v>
                </c:pt>
                <c:pt idx="573">
                  <c:v>0,364583333</c:v>
                </c:pt>
                <c:pt idx="574">
                  <c:v>0,602777778</c:v>
                </c:pt>
                <c:pt idx="575">
                  <c:v>0,071527778</c:v>
                </c:pt>
                <c:pt idx="576">
                  <c:v>0,122916667</c:v>
                </c:pt>
                <c:pt idx="577">
                  <c:v>0,077083333</c:v>
                </c:pt>
                <c:pt idx="578">
                  <c:v>0.00452</c:v>
                </c:pt>
                <c:pt idx="579">
                  <c:v>0,442361111</c:v>
                </c:pt>
                <c:pt idx="580">
                  <c:v>0.00349</c:v>
                </c:pt>
                <c:pt idx="581">
                  <c:v>0,279166667</c:v>
                </c:pt>
              </c:strCache>
            </c:strRef>
          </c:xVal>
          <c:yVal>
            <c:numRef>
              <c:f>'Clean Data'!$O$3:$O$584</c:f>
              <c:numCache>
                <c:formatCode>General</c:formatCode>
                <c:ptCount val="582"/>
                <c:pt idx="0">
                  <c:v>82</c:v>
                </c:pt>
                <c:pt idx="1">
                  <c:v>79</c:v>
                </c:pt>
                <c:pt idx="2">
                  <c:v>80</c:v>
                </c:pt>
                <c:pt idx="3">
                  <c:v>82</c:v>
                </c:pt>
                <c:pt idx="4">
                  <c:v>80</c:v>
                </c:pt>
                <c:pt idx="5">
                  <c:v>81</c:v>
                </c:pt>
                <c:pt idx="6">
                  <c:v>78</c:v>
                </c:pt>
                <c:pt idx="7">
                  <c:v>79</c:v>
                </c:pt>
                <c:pt idx="8">
                  <c:v>82</c:v>
                </c:pt>
                <c:pt idx="9">
                  <c:v>81</c:v>
                </c:pt>
                <c:pt idx="10">
                  <c:v>77</c:v>
                </c:pt>
                <c:pt idx="11">
                  <c:v>80</c:v>
                </c:pt>
                <c:pt idx="12">
                  <c:v>82</c:v>
                </c:pt>
                <c:pt idx="13">
                  <c:v>81</c:v>
                </c:pt>
                <c:pt idx="14">
                  <c:v>78</c:v>
                </c:pt>
                <c:pt idx="15">
                  <c:v>76</c:v>
                </c:pt>
                <c:pt idx="16">
                  <c:v>79</c:v>
                </c:pt>
                <c:pt idx="17">
                  <c:v>81</c:v>
                </c:pt>
                <c:pt idx="18">
                  <c:v>77</c:v>
                </c:pt>
                <c:pt idx="19">
                  <c:v>77</c:v>
                </c:pt>
                <c:pt idx="20">
                  <c:v>80</c:v>
                </c:pt>
                <c:pt idx="21">
                  <c:v>82</c:v>
                </c:pt>
                <c:pt idx="22">
                  <c:v>78</c:v>
                </c:pt>
                <c:pt idx="23">
                  <c:v>76</c:v>
                </c:pt>
                <c:pt idx="24">
                  <c:v>76</c:v>
                </c:pt>
                <c:pt idx="25">
                  <c:v>81</c:v>
                </c:pt>
                <c:pt idx="26">
                  <c:v>76</c:v>
                </c:pt>
                <c:pt idx="27">
                  <c:v>77</c:v>
                </c:pt>
                <c:pt idx="28">
                  <c:v>77</c:v>
                </c:pt>
                <c:pt idx="29">
                  <c:v>73</c:v>
                </c:pt>
                <c:pt idx="30">
                  <c:v>74</c:v>
                </c:pt>
                <c:pt idx="31">
                  <c:v>91</c:v>
                </c:pt>
                <c:pt idx="32">
                  <c:v>75</c:v>
                </c:pt>
                <c:pt idx="33">
                  <c:v>77</c:v>
                </c:pt>
                <c:pt idx="34">
                  <c:v>82</c:v>
                </c:pt>
                <c:pt idx="35">
                  <c:v>78</c:v>
                </c:pt>
                <c:pt idx="36">
                  <c:v>78</c:v>
                </c:pt>
                <c:pt idx="37">
                  <c:v>69</c:v>
                </c:pt>
                <c:pt idx="38">
                  <c:v>76</c:v>
                </c:pt>
                <c:pt idx="39">
                  <c:v>82</c:v>
                </c:pt>
                <c:pt idx="40">
                  <c:v>80</c:v>
                </c:pt>
                <c:pt idx="41">
                  <c:v>67</c:v>
                </c:pt>
                <c:pt idx="42">
                  <c:v>75</c:v>
                </c:pt>
                <c:pt idx="43">
                  <c:v>88</c:v>
                </c:pt>
                <c:pt idx="44">
                  <c:v>74</c:v>
                </c:pt>
                <c:pt idx="45">
                  <c:v>73</c:v>
                </c:pt>
                <c:pt idx="46">
                  <c:v>67</c:v>
                </c:pt>
                <c:pt idx="47">
                  <c:v>62</c:v>
                </c:pt>
                <c:pt idx="48">
                  <c:v>64</c:v>
                </c:pt>
                <c:pt idx="49">
                  <c:v>65</c:v>
                </c:pt>
                <c:pt idx="50">
                  <c:v>63</c:v>
                </c:pt>
                <c:pt idx="51">
                  <c:v>62</c:v>
                </c:pt>
                <c:pt idx="52">
                  <c:v>62</c:v>
                </c:pt>
                <c:pt idx="53">
                  <c:v>61</c:v>
                </c:pt>
                <c:pt idx="54">
                  <c:v>61</c:v>
                </c:pt>
                <c:pt idx="55">
                  <c:v>63</c:v>
                </c:pt>
                <c:pt idx="56">
                  <c:v>61</c:v>
                </c:pt>
                <c:pt idx="57">
                  <c:v>60</c:v>
                </c:pt>
                <c:pt idx="58">
                  <c:v>61</c:v>
                </c:pt>
                <c:pt idx="59">
                  <c:v>62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63</c:v>
                </c:pt>
                <c:pt idx="65">
                  <c:v>65</c:v>
                </c:pt>
                <c:pt idx="66">
                  <c:v>61</c:v>
                </c:pt>
                <c:pt idx="67">
                  <c:v>66</c:v>
                </c:pt>
                <c:pt idx="68">
                  <c:v>74</c:v>
                </c:pt>
                <c:pt idx="69">
                  <c:v>71</c:v>
                </c:pt>
                <c:pt idx="70">
                  <c:v>80</c:v>
                </c:pt>
                <c:pt idx="71">
                  <c:v>79</c:v>
                </c:pt>
                <c:pt idx="72">
                  <c:v>73</c:v>
                </c:pt>
                <c:pt idx="73">
                  <c:v>69</c:v>
                </c:pt>
                <c:pt idx="74">
                  <c:v>75</c:v>
                </c:pt>
                <c:pt idx="75">
                  <c:v>68</c:v>
                </c:pt>
                <c:pt idx="76">
                  <c:v>71</c:v>
                </c:pt>
                <c:pt idx="77">
                  <c:v>77</c:v>
                </c:pt>
                <c:pt idx="78">
                  <c:v>67</c:v>
                </c:pt>
                <c:pt idx="79">
                  <c:v>67</c:v>
                </c:pt>
                <c:pt idx="80">
                  <c:v>66</c:v>
                </c:pt>
                <c:pt idx="81">
                  <c:v>70</c:v>
                </c:pt>
                <c:pt idx="82">
                  <c:v>67</c:v>
                </c:pt>
                <c:pt idx="83">
                  <c:v>69</c:v>
                </c:pt>
                <c:pt idx="84">
                  <c:v>74</c:v>
                </c:pt>
                <c:pt idx="85">
                  <c:v>77</c:v>
                </c:pt>
                <c:pt idx="86">
                  <c:v>73</c:v>
                </c:pt>
                <c:pt idx="87">
                  <c:v>77</c:v>
                </c:pt>
                <c:pt idx="88">
                  <c:v>68</c:v>
                </c:pt>
                <c:pt idx="89">
                  <c:v>78</c:v>
                </c:pt>
                <c:pt idx="90">
                  <c:v>74</c:v>
                </c:pt>
                <c:pt idx="91">
                  <c:v>72</c:v>
                </c:pt>
                <c:pt idx="92">
                  <c:v>74</c:v>
                </c:pt>
                <c:pt idx="93">
                  <c:v>69</c:v>
                </c:pt>
                <c:pt idx="94">
                  <c:v>69</c:v>
                </c:pt>
                <c:pt idx="95">
                  <c:v>69</c:v>
                </c:pt>
                <c:pt idx="96">
                  <c:v>70</c:v>
                </c:pt>
                <c:pt idx="97">
                  <c:v>65</c:v>
                </c:pt>
                <c:pt idx="98">
                  <c:v>80</c:v>
                </c:pt>
                <c:pt idx="99">
                  <c:v>71</c:v>
                </c:pt>
                <c:pt idx="100">
                  <c:v>63</c:v>
                </c:pt>
                <c:pt idx="101">
                  <c:v>69</c:v>
                </c:pt>
                <c:pt idx="102">
                  <c:v>69</c:v>
                </c:pt>
                <c:pt idx="103">
                  <c:v>73</c:v>
                </c:pt>
                <c:pt idx="104">
                  <c:v>66</c:v>
                </c:pt>
                <c:pt idx="105">
                  <c:v>62</c:v>
                </c:pt>
                <c:pt idx="106">
                  <c:v>68</c:v>
                </c:pt>
                <c:pt idx="107">
                  <c:v>66</c:v>
                </c:pt>
                <c:pt idx="108">
                  <c:v>75</c:v>
                </c:pt>
                <c:pt idx="109">
                  <c:v>67</c:v>
                </c:pt>
                <c:pt idx="110">
                  <c:v>68</c:v>
                </c:pt>
                <c:pt idx="111">
                  <c:v>69</c:v>
                </c:pt>
                <c:pt idx="112">
                  <c:v>63</c:v>
                </c:pt>
                <c:pt idx="113">
                  <c:v>64</c:v>
                </c:pt>
                <c:pt idx="114">
                  <c:v>63</c:v>
                </c:pt>
                <c:pt idx="115">
                  <c:v>60</c:v>
                </c:pt>
                <c:pt idx="116">
                  <c:v>64</c:v>
                </c:pt>
                <c:pt idx="117">
                  <c:v>63</c:v>
                </c:pt>
                <c:pt idx="118">
                  <c:v>61</c:v>
                </c:pt>
                <c:pt idx="119">
                  <c:v>62</c:v>
                </c:pt>
                <c:pt idx="120">
                  <c:v>63</c:v>
                </c:pt>
                <c:pt idx="121">
                  <c:v>61</c:v>
                </c:pt>
                <c:pt idx="122">
                  <c:v>62</c:v>
                </c:pt>
                <c:pt idx="123">
                  <c:v>60</c:v>
                </c:pt>
                <c:pt idx="124">
                  <c:v>61</c:v>
                </c:pt>
                <c:pt idx="125">
                  <c:v>62</c:v>
                </c:pt>
                <c:pt idx="126">
                  <c:v>60</c:v>
                </c:pt>
                <c:pt idx="127">
                  <c:v>60</c:v>
                </c:pt>
                <c:pt idx="128">
                  <c:v>59</c:v>
                </c:pt>
                <c:pt idx="129">
                  <c:v>58</c:v>
                </c:pt>
                <c:pt idx="130">
                  <c:v>62</c:v>
                </c:pt>
                <c:pt idx="131">
                  <c:v>59</c:v>
                </c:pt>
                <c:pt idx="132">
                  <c:v>72</c:v>
                </c:pt>
                <c:pt idx="133">
                  <c:v>73</c:v>
                </c:pt>
                <c:pt idx="134">
                  <c:v>64</c:v>
                </c:pt>
                <c:pt idx="135">
                  <c:v>61</c:v>
                </c:pt>
                <c:pt idx="136">
                  <c:v>61</c:v>
                </c:pt>
                <c:pt idx="137">
                  <c:v>62</c:v>
                </c:pt>
                <c:pt idx="138">
                  <c:v>62</c:v>
                </c:pt>
                <c:pt idx="139">
                  <c:v>62</c:v>
                </c:pt>
                <c:pt idx="140">
                  <c:v>61</c:v>
                </c:pt>
                <c:pt idx="141">
                  <c:v>58</c:v>
                </c:pt>
                <c:pt idx="142">
                  <c:v>61</c:v>
                </c:pt>
                <c:pt idx="143">
                  <c:v>62</c:v>
                </c:pt>
                <c:pt idx="144">
                  <c:v>58</c:v>
                </c:pt>
                <c:pt idx="145">
                  <c:v>65</c:v>
                </c:pt>
                <c:pt idx="146">
                  <c:v>60</c:v>
                </c:pt>
                <c:pt idx="147">
                  <c:v>64</c:v>
                </c:pt>
                <c:pt idx="148">
                  <c:v>69</c:v>
                </c:pt>
                <c:pt idx="149">
                  <c:v>66</c:v>
                </c:pt>
                <c:pt idx="150">
                  <c:v>66</c:v>
                </c:pt>
                <c:pt idx="151">
                  <c:v>64</c:v>
                </c:pt>
                <c:pt idx="152">
                  <c:v>63</c:v>
                </c:pt>
                <c:pt idx="153">
                  <c:v>68</c:v>
                </c:pt>
                <c:pt idx="154">
                  <c:v>64</c:v>
                </c:pt>
                <c:pt idx="155">
                  <c:v>77</c:v>
                </c:pt>
                <c:pt idx="156">
                  <c:v>72</c:v>
                </c:pt>
                <c:pt idx="157">
                  <c:v>85</c:v>
                </c:pt>
                <c:pt idx="158">
                  <c:v>69</c:v>
                </c:pt>
                <c:pt idx="159">
                  <c:v>77</c:v>
                </c:pt>
                <c:pt idx="160">
                  <c:v>76</c:v>
                </c:pt>
                <c:pt idx="161">
                  <c:v>66</c:v>
                </c:pt>
                <c:pt idx="162">
                  <c:v>74</c:v>
                </c:pt>
                <c:pt idx="163">
                  <c:v>77</c:v>
                </c:pt>
                <c:pt idx="164">
                  <c:v>70</c:v>
                </c:pt>
                <c:pt idx="165">
                  <c:v>80</c:v>
                </c:pt>
                <c:pt idx="166">
                  <c:v>69</c:v>
                </c:pt>
                <c:pt idx="167">
                  <c:v>72</c:v>
                </c:pt>
                <c:pt idx="168">
                  <c:v>65</c:v>
                </c:pt>
                <c:pt idx="169">
                  <c:v>73</c:v>
                </c:pt>
                <c:pt idx="170">
                  <c:v>65</c:v>
                </c:pt>
                <c:pt idx="171">
                  <c:v>76</c:v>
                </c:pt>
                <c:pt idx="172">
                  <c:v>71</c:v>
                </c:pt>
                <c:pt idx="173">
                  <c:v>76</c:v>
                </c:pt>
                <c:pt idx="174">
                  <c:v>64</c:v>
                </c:pt>
                <c:pt idx="175">
                  <c:v>76</c:v>
                </c:pt>
                <c:pt idx="176">
                  <c:v>64</c:v>
                </c:pt>
                <c:pt idx="177">
                  <c:v>67</c:v>
                </c:pt>
                <c:pt idx="178">
                  <c:v>64</c:v>
                </c:pt>
                <c:pt idx="179">
                  <c:v>65</c:v>
                </c:pt>
                <c:pt idx="180">
                  <c:v>63</c:v>
                </c:pt>
                <c:pt idx="181">
                  <c:v>70</c:v>
                </c:pt>
                <c:pt idx="182">
                  <c:v>63</c:v>
                </c:pt>
                <c:pt idx="183">
                  <c:v>66</c:v>
                </c:pt>
                <c:pt idx="184">
                  <c:v>63</c:v>
                </c:pt>
                <c:pt idx="185">
                  <c:v>66</c:v>
                </c:pt>
                <c:pt idx="186">
                  <c:v>61</c:v>
                </c:pt>
                <c:pt idx="187">
                  <c:v>61</c:v>
                </c:pt>
                <c:pt idx="188">
                  <c:v>58</c:v>
                </c:pt>
                <c:pt idx="189">
                  <c:v>67</c:v>
                </c:pt>
                <c:pt idx="190">
                  <c:v>70</c:v>
                </c:pt>
                <c:pt idx="191">
                  <c:v>67</c:v>
                </c:pt>
                <c:pt idx="192">
                  <c:v>70</c:v>
                </c:pt>
                <c:pt idx="193">
                  <c:v>70</c:v>
                </c:pt>
                <c:pt idx="194">
                  <c:v>63</c:v>
                </c:pt>
                <c:pt idx="195">
                  <c:v>64</c:v>
                </c:pt>
                <c:pt idx="196">
                  <c:v>69</c:v>
                </c:pt>
                <c:pt idx="197">
                  <c:v>80</c:v>
                </c:pt>
                <c:pt idx="198">
                  <c:v>78</c:v>
                </c:pt>
                <c:pt idx="199">
                  <c:v>66</c:v>
                </c:pt>
                <c:pt idx="200">
                  <c:v>78</c:v>
                </c:pt>
                <c:pt idx="201">
                  <c:v>65</c:v>
                </c:pt>
                <c:pt idx="202">
                  <c:v>67</c:v>
                </c:pt>
                <c:pt idx="203">
                  <c:v>81</c:v>
                </c:pt>
                <c:pt idx="204">
                  <c:v>63</c:v>
                </c:pt>
                <c:pt idx="205">
                  <c:v>62</c:v>
                </c:pt>
                <c:pt idx="206">
                  <c:v>64</c:v>
                </c:pt>
                <c:pt idx="207">
                  <c:v>76</c:v>
                </c:pt>
                <c:pt idx="208">
                  <c:v>67</c:v>
                </c:pt>
                <c:pt idx="209">
                  <c:v>61</c:v>
                </c:pt>
                <c:pt idx="210">
                  <c:v>60</c:v>
                </c:pt>
                <c:pt idx="211">
                  <c:v>62</c:v>
                </c:pt>
                <c:pt idx="212">
                  <c:v>63</c:v>
                </c:pt>
                <c:pt idx="213">
                  <c:v>61</c:v>
                </c:pt>
                <c:pt idx="214">
                  <c:v>59</c:v>
                </c:pt>
                <c:pt idx="215">
                  <c:v>59</c:v>
                </c:pt>
                <c:pt idx="216">
                  <c:v>64</c:v>
                </c:pt>
                <c:pt idx="217">
                  <c:v>62</c:v>
                </c:pt>
                <c:pt idx="218">
                  <c:v>59</c:v>
                </c:pt>
                <c:pt idx="219">
                  <c:v>70</c:v>
                </c:pt>
                <c:pt idx="220">
                  <c:v>62</c:v>
                </c:pt>
                <c:pt idx="221">
                  <c:v>64</c:v>
                </c:pt>
                <c:pt idx="222">
                  <c:v>63</c:v>
                </c:pt>
                <c:pt idx="223">
                  <c:v>61</c:v>
                </c:pt>
                <c:pt idx="224">
                  <c:v>66</c:v>
                </c:pt>
                <c:pt idx="225">
                  <c:v>67</c:v>
                </c:pt>
                <c:pt idx="226">
                  <c:v>64</c:v>
                </c:pt>
                <c:pt idx="227">
                  <c:v>64</c:v>
                </c:pt>
                <c:pt idx="228">
                  <c:v>66</c:v>
                </c:pt>
                <c:pt idx="229">
                  <c:v>64</c:v>
                </c:pt>
                <c:pt idx="230">
                  <c:v>62</c:v>
                </c:pt>
                <c:pt idx="231">
                  <c:v>61</c:v>
                </c:pt>
                <c:pt idx="232">
                  <c:v>63</c:v>
                </c:pt>
                <c:pt idx="233">
                  <c:v>63</c:v>
                </c:pt>
                <c:pt idx="234">
                  <c:v>63</c:v>
                </c:pt>
                <c:pt idx="235">
                  <c:v>62</c:v>
                </c:pt>
                <c:pt idx="236">
                  <c:v>63</c:v>
                </c:pt>
                <c:pt idx="237">
                  <c:v>60</c:v>
                </c:pt>
                <c:pt idx="238">
                  <c:v>64</c:v>
                </c:pt>
                <c:pt idx="239">
                  <c:v>74</c:v>
                </c:pt>
                <c:pt idx="240">
                  <c:v>66</c:v>
                </c:pt>
                <c:pt idx="241">
                  <c:v>77</c:v>
                </c:pt>
                <c:pt idx="242">
                  <c:v>77</c:v>
                </c:pt>
                <c:pt idx="243">
                  <c:v>67</c:v>
                </c:pt>
                <c:pt idx="244">
                  <c:v>65</c:v>
                </c:pt>
                <c:pt idx="245">
                  <c:v>72</c:v>
                </c:pt>
                <c:pt idx="246">
                  <c:v>66</c:v>
                </c:pt>
                <c:pt idx="247">
                  <c:v>64</c:v>
                </c:pt>
                <c:pt idx="248">
                  <c:v>62</c:v>
                </c:pt>
                <c:pt idx="249">
                  <c:v>61</c:v>
                </c:pt>
                <c:pt idx="250">
                  <c:v>66</c:v>
                </c:pt>
                <c:pt idx="251">
                  <c:v>65</c:v>
                </c:pt>
                <c:pt idx="252">
                  <c:v>62</c:v>
                </c:pt>
                <c:pt idx="253">
                  <c:v>70</c:v>
                </c:pt>
                <c:pt idx="254">
                  <c:v>59</c:v>
                </c:pt>
                <c:pt idx="255">
                  <c:v>63</c:v>
                </c:pt>
                <c:pt idx="256">
                  <c:v>48</c:v>
                </c:pt>
                <c:pt idx="257">
                  <c:v>49</c:v>
                </c:pt>
                <c:pt idx="258">
                  <c:v>47</c:v>
                </c:pt>
                <c:pt idx="259">
                  <c:v>48</c:v>
                </c:pt>
                <c:pt idx="260">
                  <c:v>48</c:v>
                </c:pt>
                <c:pt idx="261">
                  <c:v>46</c:v>
                </c:pt>
                <c:pt idx="262">
                  <c:v>45</c:v>
                </c:pt>
                <c:pt idx="263">
                  <c:v>48</c:v>
                </c:pt>
                <c:pt idx="264">
                  <c:v>47</c:v>
                </c:pt>
                <c:pt idx="265">
                  <c:v>46</c:v>
                </c:pt>
                <c:pt idx="266">
                  <c:v>46</c:v>
                </c:pt>
                <c:pt idx="267">
                  <c:v>44</c:v>
                </c:pt>
                <c:pt idx="268">
                  <c:v>43</c:v>
                </c:pt>
                <c:pt idx="269">
                  <c:v>45</c:v>
                </c:pt>
                <c:pt idx="270">
                  <c:v>43</c:v>
                </c:pt>
                <c:pt idx="271">
                  <c:v>43</c:v>
                </c:pt>
                <c:pt idx="272">
                  <c:v>45</c:v>
                </c:pt>
                <c:pt idx="273">
                  <c:v>54</c:v>
                </c:pt>
                <c:pt idx="274">
                  <c:v>54</c:v>
                </c:pt>
                <c:pt idx="275">
                  <c:v>51</c:v>
                </c:pt>
                <c:pt idx="276">
                  <c:v>53</c:v>
                </c:pt>
                <c:pt idx="277">
                  <c:v>55</c:v>
                </c:pt>
                <c:pt idx="278">
                  <c:v>53</c:v>
                </c:pt>
                <c:pt idx="279">
                  <c:v>51</c:v>
                </c:pt>
                <c:pt idx="280">
                  <c:v>54</c:v>
                </c:pt>
                <c:pt idx="281">
                  <c:v>54</c:v>
                </c:pt>
                <c:pt idx="282">
                  <c:v>53</c:v>
                </c:pt>
                <c:pt idx="283">
                  <c:v>51</c:v>
                </c:pt>
                <c:pt idx="284">
                  <c:v>50</c:v>
                </c:pt>
                <c:pt idx="285">
                  <c:v>49</c:v>
                </c:pt>
                <c:pt idx="286">
                  <c:v>51</c:v>
                </c:pt>
                <c:pt idx="287">
                  <c:v>50</c:v>
                </c:pt>
                <c:pt idx="288">
                  <c:v>51</c:v>
                </c:pt>
                <c:pt idx="289">
                  <c:v>53</c:v>
                </c:pt>
                <c:pt idx="290">
                  <c:v>68</c:v>
                </c:pt>
                <c:pt idx="291">
                  <c:v>68</c:v>
                </c:pt>
                <c:pt idx="292">
                  <c:v>66</c:v>
                </c:pt>
                <c:pt idx="293">
                  <c:v>68</c:v>
                </c:pt>
                <c:pt idx="294">
                  <c:v>68</c:v>
                </c:pt>
                <c:pt idx="295">
                  <c:v>66</c:v>
                </c:pt>
                <c:pt idx="296">
                  <c:v>66</c:v>
                </c:pt>
                <c:pt idx="297">
                  <c:v>68</c:v>
                </c:pt>
                <c:pt idx="298">
                  <c:v>66</c:v>
                </c:pt>
                <c:pt idx="299">
                  <c:v>66</c:v>
                </c:pt>
                <c:pt idx="300">
                  <c:v>66</c:v>
                </c:pt>
                <c:pt idx="301">
                  <c:v>64</c:v>
                </c:pt>
                <c:pt idx="302">
                  <c:v>63</c:v>
                </c:pt>
                <c:pt idx="303">
                  <c:v>65</c:v>
                </c:pt>
                <c:pt idx="304">
                  <c:v>63</c:v>
                </c:pt>
                <c:pt idx="305">
                  <c:v>63</c:v>
                </c:pt>
                <c:pt idx="306">
                  <c:v>67</c:v>
                </c:pt>
                <c:pt idx="307">
                  <c:v>74</c:v>
                </c:pt>
                <c:pt idx="308">
                  <c:v>84</c:v>
                </c:pt>
                <c:pt idx="309">
                  <c:v>70</c:v>
                </c:pt>
                <c:pt idx="310">
                  <c:v>77</c:v>
                </c:pt>
                <c:pt idx="311">
                  <c:v>78</c:v>
                </c:pt>
                <c:pt idx="312">
                  <c:v>73</c:v>
                </c:pt>
                <c:pt idx="313">
                  <c:v>70</c:v>
                </c:pt>
                <c:pt idx="314">
                  <c:v>84</c:v>
                </c:pt>
                <c:pt idx="315">
                  <c:v>73</c:v>
                </c:pt>
                <c:pt idx="316">
                  <c:v>77</c:v>
                </c:pt>
                <c:pt idx="317">
                  <c:v>73</c:v>
                </c:pt>
                <c:pt idx="318">
                  <c:v>65</c:v>
                </c:pt>
                <c:pt idx="319">
                  <c:v>64</c:v>
                </c:pt>
                <c:pt idx="320">
                  <c:v>73</c:v>
                </c:pt>
                <c:pt idx="321">
                  <c:v>65</c:v>
                </c:pt>
                <c:pt idx="322">
                  <c:v>65</c:v>
                </c:pt>
                <c:pt idx="323">
                  <c:v>71</c:v>
                </c:pt>
                <c:pt idx="324">
                  <c:v>93</c:v>
                </c:pt>
                <c:pt idx="325">
                  <c:v>86</c:v>
                </c:pt>
                <c:pt idx="326">
                  <c:v>81</c:v>
                </c:pt>
                <c:pt idx="327">
                  <c:v>75</c:v>
                </c:pt>
                <c:pt idx="328">
                  <c:v>72</c:v>
                </c:pt>
                <c:pt idx="329">
                  <c:v>79</c:v>
                </c:pt>
                <c:pt idx="330">
                  <c:v>78</c:v>
                </c:pt>
                <c:pt idx="331">
                  <c:v>74</c:v>
                </c:pt>
                <c:pt idx="332">
                  <c:v>72</c:v>
                </c:pt>
                <c:pt idx="333">
                  <c:v>74</c:v>
                </c:pt>
                <c:pt idx="334">
                  <c:v>66</c:v>
                </c:pt>
                <c:pt idx="335">
                  <c:v>73</c:v>
                </c:pt>
                <c:pt idx="336">
                  <c:v>80</c:v>
                </c:pt>
                <c:pt idx="337">
                  <c:v>74</c:v>
                </c:pt>
                <c:pt idx="338">
                  <c:v>75</c:v>
                </c:pt>
                <c:pt idx="339">
                  <c:v>66</c:v>
                </c:pt>
                <c:pt idx="340">
                  <c:v>78</c:v>
                </c:pt>
                <c:pt idx="341">
                  <c:v>82</c:v>
                </c:pt>
                <c:pt idx="342">
                  <c:v>74</c:v>
                </c:pt>
                <c:pt idx="343">
                  <c:v>75</c:v>
                </c:pt>
                <c:pt idx="344">
                  <c:v>85</c:v>
                </c:pt>
                <c:pt idx="345">
                  <c:v>81</c:v>
                </c:pt>
                <c:pt idx="346">
                  <c:v>81</c:v>
                </c:pt>
                <c:pt idx="347">
                  <c:v>69</c:v>
                </c:pt>
                <c:pt idx="348">
                  <c:v>76</c:v>
                </c:pt>
                <c:pt idx="349">
                  <c:v>79</c:v>
                </c:pt>
                <c:pt idx="350">
                  <c:v>72</c:v>
                </c:pt>
                <c:pt idx="351">
                  <c:v>72</c:v>
                </c:pt>
                <c:pt idx="352">
                  <c:v>75</c:v>
                </c:pt>
                <c:pt idx="353">
                  <c:v>70</c:v>
                </c:pt>
                <c:pt idx="354">
                  <c:v>75</c:v>
                </c:pt>
                <c:pt idx="355">
                  <c:v>70</c:v>
                </c:pt>
                <c:pt idx="356">
                  <c:v>35</c:v>
                </c:pt>
                <c:pt idx="357">
                  <c:v>38</c:v>
                </c:pt>
                <c:pt idx="358">
                  <c:v>30</c:v>
                </c:pt>
                <c:pt idx="359">
                  <c:v>33</c:v>
                </c:pt>
                <c:pt idx="360">
                  <c:v>29</c:v>
                </c:pt>
                <c:pt idx="361">
                  <c:v>32</c:v>
                </c:pt>
                <c:pt idx="362">
                  <c:v>36</c:v>
                </c:pt>
                <c:pt idx="363">
                  <c:v>35</c:v>
                </c:pt>
                <c:pt idx="364">
                  <c:v>36</c:v>
                </c:pt>
                <c:pt idx="365">
                  <c:v>79</c:v>
                </c:pt>
                <c:pt idx="366">
                  <c:v>32</c:v>
                </c:pt>
                <c:pt idx="367">
                  <c:v>31</c:v>
                </c:pt>
                <c:pt idx="368">
                  <c:v>54</c:v>
                </c:pt>
                <c:pt idx="369">
                  <c:v>29</c:v>
                </c:pt>
                <c:pt idx="370">
                  <c:v>37</c:v>
                </c:pt>
                <c:pt idx="371">
                  <c:v>31</c:v>
                </c:pt>
                <c:pt idx="372">
                  <c:v>28</c:v>
                </c:pt>
                <c:pt idx="373">
                  <c:v>30</c:v>
                </c:pt>
                <c:pt idx="374">
                  <c:v>28</c:v>
                </c:pt>
                <c:pt idx="375">
                  <c:v>27</c:v>
                </c:pt>
                <c:pt idx="376">
                  <c:v>29</c:v>
                </c:pt>
                <c:pt idx="377">
                  <c:v>31</c:v>
                </c:pt>
                <c:pt idx="378">
                  <c:v>29</c:v>
                </c:pt>
                <c:pt idx="379">
                  <c:v>40</c:v>
                </c:pt>
                <c:pt idx="380">
                  <c:v>26</c:v>
                </c:pt>
                <c:pt idx="381">
                  <c:v>30</c:v>
                </c:pt>
                <c:pt idx="382">
                  <c:v>32</c:v>
                </c:pt>
                <c:pt idx="383">
                  <c:v>28</c:v>
                </c:pt>
                <c:pt idx="384">
                  <c:v>27</c:v>
                </c:pt>
                <c:pt idx="385">
                  <c:v>28</c:v>
                </c:pt>
                <c:pt idx="386">
                  <c:v>26</c:v>
                </c:pt>
                <c:pt idx="387">
                  <c:v>27</c:v>
                </c:pt>
                <c:pt idx="388">
                  <c:v>31</c:v>
                </c:pt>
                <c:pt idx="389">
                  <c:v>30</c:v>
                </c:pt>
                <c:pt idx="390">
                  <c:v>26</c:v>
                </c:pt>
                <c:pt idx="391">
                  <c:v>27</c:v>
                </c:pt>
                <c:pt idx="392">
                  <c:v>27</c:v>
                </c:pt>
                <c:pt idx="393">
                  <c:v>28</c:v>
                </c:pt>
                <c:pt idx="394">
                  <c:v>26</c:v>
                </c:pt>
                <c:pt idx="395">
                  <c:v>26</c:v>
                </c:pt>
                <c:pt idx="396">
                  <c:v>28</c:v>
                </c:pt>
                <c:pt idx="397">
                  <c:v>30</c:v>
                </c:pt>
                <c:pt idx="398">
                  <c:v>28</c:v>
                </c:pt>
                <c:pt idx="399">
                  <c:v>28</c:v>
                </c:pt>
                <c:pt idx="400">
                  <c:v>27</c:v>
                </c:pt>
                <c:pt idx="401">
                  <c:v>28</c:v>
                </c:pt>
                <c:pt idx="402">
                  <c:v>48</c:v>
                </c:pt>
                <c:pt idx="403">
                  <c:v>81</c:v>
                </c:pt>
                <c:pt idx="404">
                  <c:v>79</c:v>
                </c:pt>
                <c:pt idx="405">
                  <c:v>59</c:v>
                </c:pt>
                <c:pt idx="406">
                  <c:v>47</c:v>
                </c:pt>
                <c:pt idx="407">
                  <c:v>80</c:v>
                </c:pt>
                <c:pt idx="408">
                  <c:v>51</c:v>
                </c:pt>
                <c:pt idx="409">
                  <c:v>52</c:v>
                </c:pt>
                <c:pt idx="410">
                  <c:v>52</c:v>
                </c:pt>
                <c:pt idx="411">
                  <c:v>55</c:v>
                </c:pt>
                <c:pt idx="412">
                  <c:v>50</c:v>
                </c:pt>
                <c:pt idx="413">
                  <c:v>50</c:v>
                </c:pt>
                <c:pt idx="414">
                  <c:v>55</c:v>
                </c:pt>
                <c:pt idx="415">
                  <c:v>55</c:v>
                </c:pt>
                <c:pt idx="416">
                  <c:v>55</c:v>
                </c:pt>
                <c:pt idx="417">
                  <c:v>62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59</c:v>
                </c:pt>
                <c:pt idx="422">
                  <c:v>60</c:v>
                </c:pt>
                <c:pt idx="423">
                  <c:v>56</c:v>
                </c:pt>
                <c:pt idx="424">
                  <c:v>46</c:v>
                </c:pt>
                <c:pt idx="425">
                  <c:v>53</c:v>
                </c:pt>
                <c:pt idx="426">
                  <c:v>53</c:v>
                </c:pt>
                <c:pt idx="427">
                  <c:v>42</c:v>
                </c:pt>
                <c:pt idx="428">
                  <c:v>71</c:v>
                </c:pt>
                <c:pt idx="429">
                  <c:v>75</c:v>
                </c:pt>
                <c:pt idx="430">
                  <c:v>43</c:v>
                </c:pt>
                <c:pt idx="431">
                  <c:v>42</c:v>
                </c:pt>
                <c:pt idx="432">
                  <c:v>43</c:v>
                </c:pt>
                <c:pt idx="433">
                  <c:v>42</c:v>
                </c:pt>
                <c:pt idx="434">
                  <c:v>43</c:v>
                </c:pt>
                <c:pt idx="435">
                  <c:v>54</c:v>
                </c:pt>
                <c:pt idx="436">
                  <c:v>41</c:v>
                </c:pt>
                <c:pt idx="437">
                  <c:v>59</c:v>
                </c:pt>
                <c:pt idx="438">
                  <c:v>59</c:v>
                </c:pt>
                <c:pt idx="439">
                  <c:v>59</c:v>
                </c:pt>
                <c:pt idx="440">
                  <c:v>43</c:v>
                </c:pt>
                <c:pt idx="441">
                  <c:v>59</c:v>
                </c:pt>
                <c:pt idx="442">
                  <c:v>43</c:v>
                </c:pt>
                <c:pt idx="443">
                  <c:v>45</c:v>
                </c:pt>
                <c:pt idx="444">
                  <c:v>41</c:v>
                </c:pt>
                <c:pt idx="445">
                  <c:v>40</c:v>
                </c:pt>
                <c:pt idx="446">
                  <c:v>40</c:v>
                </c:pt>
                <c:pt idx="447">
                  <c:v>52</c:v>
                </c:pt>
                <c:pt idx="448">
                  <c:v>41</c:v>
                </c:pt>
                <c:pt idx="449">
                  <c:v>45</c:v>
                </c:pt>
                <c:pt idx="450">
                  <c:v>38</c:v>
                </c:pt>
                <c:pt idx="451">
                  <c:v>43</c:v>
                </c:pt>
                <c:pt idx="452">
                  <c:v>37</c:v>
                </c:pt>
                <c:pt idx="453">
                  <c:v>34</c:v>
                </c:pt>
                <c:pt idx="454">
                  <c:v>36</c:v>
                </c:pt>
                <c:pt idx="455">
                  <c:v>37</c:v>
                </c:pt>
                <c:pt idx="456">
                  <c:v>40</c:v>
                </c:pt>
                <c:pt idx="457">
                  <c:v>58</c:v>
                </c:pt>
                <c:pt idx="458">
                  <c:v>38</c:v>
                </c:pt>
                <c:pt idx="459">
                  <c:v>61</c:v>
                </c:pt>
                <c:pt idx="460">
                  <c:v>44</c:v>
                </c:pt>
                <c:pt idx="461">
                  <c:v>53</c:v>
                </c:pt>
                <c:pt idx="462">
                  <c:v>39</c:v>
                </c:pt>
                <c:pt idx="463">
                  <c:v>59</c:v>
                </c:pt>
                <c:pt idx="464">
                  <c:v>39</c:v>
                </c:pt>
                <c:pt idx="465">
                  <c:v>38</c:v>
                </c:pt>
                <c:pt idx="466">
                  <c:v>37</c:v>
                </c:pt>
                <c:pt idx="467">
                  <c:v>35</c:v>
                </c:pt>
                <c:pt idx="468">
                  <c:v>36</c:v>
                </c:pt>
                <c:pt idx="469">
                  <c:v>50</c:v>
                </c:pt>
                <c:pt idx="470">
                  <c:v>37</c:v>
                </c:pt>
                <c:pt idx="471">
                  <c:v>56</c:v>
                </c:pt>
                <c:pt idx="472">
                  <c:v>42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39</c:v>
                </c:pt>
                <c:pt idx="477">
                  <c:v>47</c:v>
                </c:pt>
                <c:pt idx="478">
                  <c:v>41</c:v>
                </c:pt>
                <c:pt idx="479">
                  <c:v>40</c:v>
                </c:pt>
                <c:pt idx="480">
                  <c:v>40</c:v>
                </c:pt>
                <c:pt idx="481">
                  <c:v>46</c:v>
                </c:pt>
                <c:pt idx="482">
                  <c:v>42</c:v>
                </c:pt>
                <c:pt idx="483">
                  <c:v>40</c:v>
                </c:pt>
                <c:pt idx="484">
                  <c:v>40</c:v>
                </c:pt>
                <c:pt idx="485">
                  <c:v>42</c:v>
                </c:pt>
                <c:pt idx="486">
                  <c:v>41</c:v>
                </c:pt>
                <c:pt idx="487">
                  <c:v>41</c:v>
                </c:pt>
                <c:pt idx="488">
                  <c:v>42</c:v>
                </c:pt>
                <c:pt idx="489">
                  <c:v>53</c:v>
                </c:pt>
                <c:pt idx="490">
                  <c:v>62</c:v>
                </c:pt>
                <c:pt idx="491">
                  <c:v>50</c:v>
                </c:pt>
                <c:pt idx="492">
                  <c:v>46</c:v>
                </c:pt>
                <c:pt idx="493">
                  <c:v>51</c:v>
                </c:pt>
                <c:pt idx="494">
                  <c:v>48</c:v>
                </c:pt>
                <c:pt idx="495">
                  <c:v>48</c:v>
                </c:pt>
                <c:pt idx="496">
                  <c:v>71</c:v>
                </c:pt>
                <c:pt idx="497">
                  <c:v>54</c:v>
                </c:pt>
                <c:pt idx="498">
                  <c:v>38</c:v>
                </c:pt>
                <c:pt idx="499">
                  <c:v>47</c:v>
                </c:pt>
                <c:pt idx="500">
                  <c:v>49</c:v>
                </c:pt>
                <c:pt idx="501">
                  <c:v>51</c:v>
                </c:pt>
                <c:pt idx="502">
                  <c:v>42</c:v>
                </c:pt>
                <c:pt idx="503">
                  <c:v>52</c:v>
                </c:pt>
                <c:pt idx="504">
                  <c:v>63</c:v>
                </c:pt>
                <c:pt idx="505">
                  <c:v>51</c:v>
                </c:pt>
                <c:pt idx="506">
                  <c:v>46</c:v>
                </c:pt>
                <c:pt idx="507">
                  <c:v>55</c:v>
                </c:pt>
                <c:pt idx="508">
                  <c:v>40</c:v>
                </c:pt>
                <c:pt idx="509">
                  <c:v>44</c:v>
                </c:pt>
                <c:pt idx="510">
                  <c:v>71</c:v>
                </c:pt>
                <c:pt idx="511">
                  <c:v>54</c:v>
                </c:pt>
                <c:pt idx="512">
                  <c:v>40</c:v>
                </c:pt>
                <c:pt idx="513">
                  <c:v>48</c:v>
                </c:pt>
                <c:pt idx="514">
                  <c:v>46</c:v>
                </c:pt>
                <c:pt idx="515">
                  <c:v>46</c:v>
                </c:pt>
                <c:pt idx="516">
                  <c:v>46</c:v>
                </c:pt>
                <c:pt idx="517">
                  <c:v>45</c:v>
                </c:pt>
                <c:pt idx="518">
                  <c:v>39</c:v>
                </c:pt>
                <c:pt idx="519">
                  <c:v>49</c:v>
                </c:pt>
                <c:pt idx="520">
                  <c:v>44</c:v>
                </c:pt>
                <c:pt idx="521">
                  <c:v>57</c:v>
                </c:pt>
                <c:pt idx="522">
                  <c:v>34</c:v>
                </c:pt>
                <c:pt idx="523">
                  <c:v>52</c:v>
                </c:pt>
                <c:pt idx="524">
                  <c:v>41</c:v>
                </c:pt>
                <c:pt idx="525">
                  <c:v>43</c:v>
                </c:pt>
                <c:pt idx="526">
                  <c:v>41</c:v>
                </c:pt>
                <c:pt idx="527">
                  <c:v>39</c:v>
                </c:pt>
                <c:pt idx="528">
                  <c:v>38</c:v>
                </c:pt>
                <c:pt idx="529">
                  <c:v>39</c:v>
                </c:pt>
                <c:pt idx="530">
                  <c:v>50</c:v>
                </c:pt>
                <c:pt idx="531">
                  <c:v>40</c:v>
                </c:pt>
                <c:pt idx="532">
                  <c:v>56</c:v>
                </c:pt>
                <c:pt idx="533">
                  <c:v>43</c:v>
                </c:pt>
                <c:pt idx="534">
                  <c:v>42</c:v>
                </c:pt>
                <c:pt idx="535">
                  <c:v>57</c:v>
                </c:pt>
                <c:pt idx="536">
                  <c:v>38</c:v>
                </c:pt>
                <c:pt idx="537">
                  <c:v>40</c:v>
                </c:pt>
                <c:pt idx="538">
                  <c:v>42</c:v>
                </c:pt>
                <c:pt idx="539">
                  <c:v>48</c:v>
                </c:pt>
                <c:pt idx="540">
                  <c:v>43</c:v>
                </c:pt>
                <c:pt idx="541">
                  <c:v>40</c:v>
                </c:pt>
                <c:pt idx="542">
                  <c:v>40</c:v>
                </c:pt>
                <c:pt idx="543">
                  <c:v>36</c:v>
                </c:pt>
                <c:pt idx="544">
                  <c:v>32</c:v>
                </c:pt>
                <c:pt idx="545">
                  <c:v>46</c:v>
                </c:pt>
                <c:pt idx="546">
                  <c:v>30</c:v>
                </c:pt>
                <c:pt idx="547">
                  <c:v>33</c:v>
                </c:pt>
                <c:pt idx="548">
                  <c:v>45</c:v>
                </c:pt>
                <c:pt idx="549">
                  <c:v>31</c:v>
                </c:pt>
                <c:pt idx="550">
                  <c:v>27</c:v>
                </c:pt>
                <c:pt idx="551">
                  <c:v>28</c:v>
                </c:pt>
                <c:pt idx="552">
                  <c:v>31</c:v>
                </c:pt>
                <c:pt idx="553">
                  <c:v>28</c:v>
                </c:pt>
                <c:pt idx="554">
                  <c:v>26</c:v>
                </c:pt>
                <c:pt idx="555">
                  <c:v>25</c:v>
                </c:pt>
                <c:pt idx="556">
                  <c:v>31</c:v>
                </c:pt>
                <c:pt idx="557">
                  <c:v>34</c:v>
                </c:pt>
                <c:pt idx="558">
                  <c:v>29</c:v>
                </c:pt>
                <c:pt idx="559">
                  <c:v>35</c:v>
                </c:pt>
                <c:pt idx="560">
                  <c:v>35</c:v>
                </c:pt>
                <c:pt idx="561">
                  <c:v>38</c:v>
                </c:pt>
                <c:pt idx="562">
                  <c:v>32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28</c:v>
                </c:pt>
                <c:pt idx="567">
                  <c:v>56</c:v>
                </c:pt>
                <c:pt idx="568">
                  <c:v>61</c:v>
                </c:pt>
                <c:pt idx="569">
                  <c:v>63</c:v>
                </c:pt>
                <c:pt idx="570">
                  <c:v>55</c:v>
                </c:pt>
                <c:pt idx="571">
                  <c:v>55</c:v>
                </c:pt>
                <c:pt idx="572">
                  <c:v>54</c:v>
                </c:pt>
                <c:pt idx="573">
                  <c:v>54</c:v>
                </c:pt>
                <c:pt idx="574">
                  <c:v>53</c:v>
                </c:pt>
                <c:pt idx="575">
                  <c:v>60</c:v>
                </c:pt>
                <c:pt idx="576">
                  <c:v>57</c:v>
                </c:pt>
                <c:pt idx="577">
                  <c:v>64</c:v>
                </c:pt>
                <c:pt idx="578">
                  <c:v>56</c:v>
                </c:pt>
                <c:pt idx="579">
                  <c:v>54</c:v>
                </c:pt>
                <c:pt idx="580">
                  <c:v>53</c:v>
                </c:pt>
                <c:pt idx="581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20-974C-9E39-314B494AF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891968"/>
        <c:axId val="216893696"/>
      </c:scatterChart>
      <c:valAx>
        <c:axId val="216891968"/>
        <c:scaling>
          <c:orientation val="minMax"/>
        </c:scaling>
        <c:delete val="0"/>
        <c:axPos val="b"/>
        <c:majorTickMark val="out"/>
        <c:minorTickMark val="none"/>
        <c:tickLblPos val="nextTo"/>
        <c:crossAx val="216893696"/>
        <c:crosses val="autoZero"/>
        <c:crossBetween val="midCat"/>
      </c:valAx>
      <c:valAx>
        <c:axId val="216893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68919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582179</xdr:colOff>
      <xdr:row>3</xdr:row>
      <xdr:rowOff>103332</xdr:rowOff>
    </xdr:from>
    <xdr:to>
      <xdr:col>16</xdr:col>
      <xdr:colOff>277380</xdr:colOff>
      <xdr:row>18</xdr:row>
      <xdr:rowOff>84282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260062</xdr:colOff>
      <xdr:row>20</xdr:row>
      <xdr:rowOff>53688</xdr:rowOff>
    </xdr:from>
    <xdr:to>
      <xdr:col>12</xdr:col>
      <xdr:colOff>567171</xdr:colOff>
      <xdr:row>35</xdr:row>
      <xdr:rowOff>34637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593725</xdr:colOff>
      <xdr:row>3</xdr:row>
      <xdr:rowOff>139700</xdr:rowOff>
    </xdr:from>
    <xdr:to>
      <xdr:col>8</xdr:col>
      <xdr:colOff>288925</xdr:colOff>
      <xdr:row>18</xdr:row>
      <xdr:rowOff>120650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81108</xdr:colOff>
      <xdr:row>55</xdr:row>
      <xdr:rowOff>135081</xdr:rowOff>
    </xdr:from>
    <xdr:to>
      <xdr:col>10</xdr:col>
      <xdr:colOff>369744</xdr:colOff>
      <xdr:row>70</xdr:row>
      <xdr:rowOff>107372</xdr:rowOff>
    </xdr:to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122526</xdr:colOff>
      <xdr:row>38</xdr:row>
      <xdr:rowOff>182996</xdr:rowOff>
    </xdr:from>
    <xdr:to>
      <xdr:col>8</xdr:col>
      <xdr:colOff>239712</xdr:colOff>
      <xdr:row>53</xdr:row>
      <xdr:rowOff>60037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363970</xdr:colOff>
      <xdr:row>38</xdr:row>
      <xdr:rowOff>155864</xdr:rowOff>
    </xdr:from>
    <xdr:to>
      <xdr:col>16</xdr:col>
      <xdr:colOff>40698</xdr:colOff>
      <xdr:row>53</xdr:row>
      <xdr:rowOff>128155</xdr:rowOff>
    </xdr:to>
    <xdr:graphicFrame macro="">
      <xdr:nvGraphicFramePr>
        <xdr:cNvPr id="11" name="Chart 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283153</xdr:colOff>
      <xdr:row>39</xdr:row>
      <xdr:rowOff>13854</xdr:rowOff>
    </xdr:from>
    <xdr:to>
      <xdr:col>23</xdr:col>
      <xdr:colOff>571789</xdr:colOff>
      <xdr:row>53</xdr:row>
      <xdr:rowOff>170873</xdr:rowOff>
    </xdr:to>
    <xdr:graphicFrame macro="">
      <xdr:nvGraphicFramePr>
        <xdr:cNvPr id="12" name="Chart 10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16906</xdr:colOff>
      <xdr:row>55</xdr:row>
      <xdr:rowOff>150750</xdr:rowOff>
    </xdr:from>
    <xdr:to>
      <xdr:col>18</xdr:col>
      <xdr:colOff>305542</xdr:colOff>
      <xdr:row>70</xdr:row>
      <xdr:rowOff>123041</xdr:rowOff>
    </xdr:to>
    <xdr:graphicFrame macro="">
      <xdr:nvGraphicFramePr>
        <xdr:cNvPr id="13" name="Chart 1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495218</xdr:colOff>
      <xdr:row>72</xdr:row>
      <xdr:rowOff>9236</xdr:rowOff>
    </xdr:from>
    <xdr:to>
      <xdr:col>9</xdr:col>
      <xdr:colOff>174254</xdr:colOff>
      <xdr:row>86</xdr:row>
      <xdr:rowOff>165677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sabila Artika Arifiani" refreshedDate="46132.838248842592" createdVersion="4" refreshedVersion="4" minRefreshableVersion="3" recordCount="582" xr:uid="{00000000-000A-0000-FFFF-FFFF17000000}">
  <cacheSource type="worksheet">
    <worksheetSource name="Table13"/>
  </cacheSource>
  <cacheFields count="20">
    <cacheField name="name" numFmtId="0">
      <sharedItems containsMixedTypes="1" containsNumber="1" containsInteger="1" minValue="22" maxValue="22" count="363">
        <s v="Fortnight (feat. Post Malone)"/>
        <s v="The Tortured Poets Department"/>
        <s v="My Boy Only Breaks His Favorite Toys"/>
        <s v="Down Bad"/>
        <s v="So Long, London"/>
        <s v="But Daddy I Love Him"/>
        <s v="Fresh Out The Slammer"/>
        <s v="Florida!!! (feat. Florence + The Machine)"/>
        <s v="Guilty as Sin?"/>
        <s v="Who’s Afraid of Little Old Me?"/>
        <s v="I Can Fix Him (No Really I Can)"/>
        <s v="loml"/>
        <s v="I Can Do It With a Broken Heart"/>
        <s v="The Smallest Man Who Ever Lived"/>
        <s v="The Alchemy"/>
        <s v="Clara Bow"/>
        <s v="The Black Dog"/>
        <s v="imgonnagetyouback"/>
        <s v="The Albatross"/>
        <s v="Chloe or Sam or Sophia or Marcus"/>
        <s v="How Did It End?"/>
        <s v="So High School"/>
        <s v="I Hate It Here"/>
        <s v="thanK you aIMee"/>
        <s v="I Look in People's Windows"/>
        <s v="The Prophecy"/>
        <s v="Cassandra"/>
        <s v="Peter"/>
        <s v="The Bolter"/>
        <s v="Robin"/>
        <s v="The Manuscript"/>
        <s v="Welcome To New York (Taylor's Version)"/>
        <s v="Blank Space (Taylor's Version)"/>
        <s v="Style (Taylor's Version)"/>
        <s v="Out Of The Woods (Taylor's Version)"/>
        <s v="All You Had To Do Was Stay (Taylor's Version)"/>
        <s v="Shake It Off (Taylor's Version)"/>
        <s v="I Wish You Would (Taylor's Version)"/>
        <s v="Bad Blood (Taylor's Version)"/>
        <s v="Wildest Dreams (Taylor's Version)"/>
        <s v="How You Get The Girl (Taylor's Version)"/>
        <s v="This Love (Taylor’s Version)"/>
        <s v="I Know Places (Taylor's Version)"/>
        <s v="Clean (Taylor's Version)"/>
        <s v="Wonderland (Taylor's Version)"/>
        <s v="You Are In Love (Taylor's Version)"/>
        <s v="New Romantics (Taylor's Version)"/>
        <s v="&quot;Slut!&quot; (Taylor's Version) (From The Vault)"/>
        <s v="Say Don't Go (Taylor's Version) (From The Vault)"/>
        <s v="Now That We Don't Talk (Taylor's Version) (From The Vault)"/>
        <s v="Suburban Legends (Taylor's Version) (From The Vault)"/>
        <s v="Is It Over Now? (Taylor's Version) (From The Vault)"/>
        <s v="Bad Blood (feat. Kendrick Lamar) (Taylor's Version)"/>
        <s v="Mine (Taylor's Version)"/>
        <s v="Sparks Fly (Taylor’s Version)"/>
        <s v="Back To December (Taylor's Version)"/>
        <s v="Speak Now (Taylor's Version)"/>
        <s v="Dear John (Taylor's Version)"/>
        <s v="Mean (Taylor's Version)"/>
        <s v="The Story Of Us (Taylor's Version)"/>
        <s v="Never Grow Up (Taylor's Version)"/>
        <s v="Enchanted (Taylor's Version)"/>
        <s v="Better Than Revenge (Taylor's Version)"/>
        <s v="Innocent (Taylor's Version)"/>
        <s v="Haunted (Taylor's Version)"/>
        <s v="Last Kiss (Taylor's Version)"/>
        <s v="Long Live (Taylor's Version)"/>
        <s v="Ours (Taylor’s Version)"/>
        <s v="Superman (Taylor’s Version)"/>
        <s v="Electric Touch (feat. Fall Out Boy) (Taylor’s Version) (From The Vault)"/>
        <s v="When Emma Falls in Love (Taylor’s Version) (From The Vault)"/>
        <s v="I Can See You (Taylor’s Version) (From The Vault)"/>
        <s v="Castles Crumbling (feat. Hayley Williams) (Taylor’s Version) (From The Vault)"/>
        <s v="Foolish One (Taylor’s Version) (From The Vault)"/>
        <s v="Timeless (Taylor’s Version) (From The Vault)"/>
        <s v="Lavender Haze"/>
        <s v="Maroon"/>
        <s v="Anti-Hero"/>
        <s v="Snow On The Beach (feat. Lana Del Rey)"/>
        <s v="You're On Your Own, Kid"/>
        <s v="Midnight Rain"/>
        <s v="Question...?"/>
        <s v="Vigilante Shit"/>
        <s v="Bejeweled"/>
        <s v="Labyrinth"/>
        <s v="Karma"/>
        <s v="Sweet Nothing"/>
        <s v="Mastermind"/>
        <s v="The Great War"/>
        <s v="Bigger Than The Whole Sky"/>
        <s v="Paris"/>
        <s v="High Infidelity"/>
        <s v="Glitch"/>
        <s v="Would've, Could've, Should've"/>
        <s v="Dear Reader"/>
        <s v="Hits Different"/>
        <s v="Snow On The Beach (feat. More Lana Del Rey)"/>
        <s v="Karma (feat. Ice Spice)"/>
        <s v="State Of Grace (Taylor's Version)"/>
        <s v="Red (Taylor's Version)"/>
        <s v="Treacherous (Taylor's Version)"/>
        <s v="I Knew You Were Trouble (Taylor's Version)"/>
        <s v="All Too Well (Taylor's Version)"/>
        <s v="22 (Taylor's Version)"/>
        <s v="I Almost Do (Taylor's Version)"/>
        <s v="We Are Never Ever Getting Back Together (Taylor's Version)"/>
        <s v="Stay Stay Stay (Taylor's Version)"/>
        <s v="The Last Time (feat. Gary Lightbody of Snow Patrol) (Taylor’s Version)"/>
        <s v="Holy Ground (Taylor's Version)"/>
        <s v="Sad Beautiful Tragic (Taylor's Version)"/>
        <s v="The Lucky One (Taylor's Version)"/>
        <s v="Everything Has Changed (feat. Ed Sheeran) (Taylor’s Version)"/>
        <s v="Starlight (Taylor's Version)"/>
        <s v="Begin Again (Taylor's Version)"/>
        <s v="The Moment I Knew (Taylor's Version)"/>
        <s v="Come Back...Be Here (Taylor's Version)"/>
        <s v="Girl At Home (Taylor's Version)"/>
        <s v="State Of Grace (Acoustic Version) (Taylor's Version)"/>
        <s v="Ronan (Taylor's Version)"/>
        <s v="Better Man (Taylor's Version) (From The Vault)"/>
        <s v="Nothing New (feat. Phoebe Bridgers) (Taylor’s Version) (From The Vault)"/>
        <s v="Babe (Taylor's Version) (From The Vault)"/>
        <s v="Message In A Bottle (Taylor's Version) (From The Vault)"/>
        <s v="I Bet You Think About Me (feat. Chris Stapleton) (Taylor’s Version) (From The Vault)"/>
        <s v="Forever Winter (Taylor's Version) (From The Vault)"/>
        <s v="Run (feat. Ed Sheeran) (Taylor’s Version) (From The Vault)"/>
        <s v="The Very First Night (Taylor's Version) (From The Vault)"/>
        <s v="All Too Well (10 Minute Version) (Taylor's Version) (From The Vault)"/>
        <s v="Fearless (Taylor’s Version)"/>
        <s v="Fifteen (Taylor’s Version)"/>
        <s v="Love Story (Taylor’s Version)"/>
        <s v="Hey Stephen (Taylor’s Version)"/>
        <s v="White Horse (Taylor’s Version)"/>
        <s v="You Belong With Me (Taylor’s Version)"/>
        <s v="Breathe (feat. Colbie Caillat) (Taylor’s Version)"/>
        <s v="Tell Me Why (Taylor’s Version)"/>
        <s v="You’re Not Sorry (Taylor’s Version)"/>
        <s v="The Way I Loved You (Taylor’s Version)"/>
        <s v="Forever &amp; Always (Taylor’s Version)"/>
        <s v="The Best Day (Taylor’s Version)"/>
        <s v="Change (Taylor’s Version)"/>
        <s v="Jump Then Fall (Taylor’s Version)"/>
        <s v="Untouchable (Taylor’s Version)"/>
        <s v="Forever &amp; Always (Piano Version) (Taylor’s Version)"/>
        <s v="Come In With The Rain (Taylor’s Version)"/>
        <s v="Superstar (Taylor’s Version)"/>
        <s v="The Other Side Of The Door (Taylor’s Version)"/>
        <s v="Today Was A Fairytale (Taylor’s Version)"/>
        <s v="You All Over Me (feat. Maren Morris) (Taylor’s Version) (From The Vault)"/>
        <s v="Mr. Perfectly Fine (Taylor’s Version) (From The Vault)"/>
        <s v="We Were Happy (Taylor’s Version) (From The Vault)"/>
        <s v="That’s When (feat. Keith Urban) (Taylor’s Version) (From The Vault)"/>
        <s v="Don’t You (Taylor’s Version) (From The Vault)"/>
        <s v="Bye Bye Baby (Taylor’s Version) (From The Vault)"/>
        <s v="willow"/>
        <s v="champagne problems"/>
        <s v="gold rush"/>
        <s v="‘tis the damn season"/>
        <s v="tolerate it"/>
        <s v="no body, no crime (feat. HAIM)"/>
        <s v="happiness"/>
        <s v="dorothea"/>
        <s v="coney island (feat. The National)"/>
        <s v="ivy"/>
        <s v="cowboy like me"/>
        <s v="long story short"/>
        <s v="marjorie"/>
        <s v="closure"/>
        <s v="evermore (feat. Bon Iver)"/>
        <s v="right where you left me - bonus track"/>
        <s v="it’s time to go - bonus track"/>
        <s v="the 1"/>
        <s v="cardigan"/>
        <s v="the last great american dynasty"/>
        <s v="exile (feat. Bon Iver)"/>
        <s v="my tears ricochet"/>
        <s v="mirrorball"/>
        <s v="seven"/>
        <s v="august"/>
        <s v="this is me trying"/>
        <s v="illicit affairs"/>
        <s v="invisible string"/>
        <s v="mad woman"/>
        <s v="epiphany"/>
        <s v="betty"/>
        <s v="peace"/>
        <s v="hoax"/>
        <s v="the lakes - bonus track"/>
        <s v="the 1 - the long pond studio sessions"/>
        <s v="cardigan - the long pond studio sessions"/>
        <s v="the last great american dynasty - the long pond studio sessions"/>
        <s v="exile (feat. Bon Iver) - the long pond studio sessions"/>
        <s v="my tears ricochet - the long pond studio sessions"/>
        <s v="mirrorball - the long pond studio sessions"/>
        <s v="seven - the long pond studio sessions"/>
        <s v="august - the long pond studio sessions"/>
        <s v="this is me trying - the long pond studio sessions"/>
        <s v="illicit affairs - the long pond studio sessions"/>
        <s v="invisible string - the long pond studio sessions"/>
        <s v="mad woman - the long pond studio sessions"/>
        <s v="epiphany - the long pond studio sessions"/>
        <s v="betty - the long pond studio sessions"/>
        <s v="peace - the long pond studio sessions"/>
        <s v="hoax - the long pond studio sessions"/>
        <s v="the lakes - the long pond studio sessions"/>
        <s v="I Forgot That You Existed"/>
        <s v="Cruel Summer"/>
        <s v="Lover"/>
        <s v="The Man"/>
        <s v="The Archer"/>
        <s v="I Think He Knows"/>
        <s v="Miss Americana &amp; The Heartbreak Prince"/>
        <s v="Paper Rings"/>
        <s v="Cornelia Street"/>
        <s v="Death By A Thousand Cuts"/>
        <s v="London Boy"/>
        <s v="Soon You’ll Get Better (feat. The Chicks)"/>
        <s v="False God"/>
        <s v="You Need To Calm Down"/>
        <s v="Afterglow"/>
        <s v="ME! (feat. Brendon Urie of Panic! At The Disco)"/>
        <s v="It’s Nice To Have A Friend"/>
        <s v="Daylight"/>
        <s v="...Ready For It?"/>
        <s v="End Game"/>
        <s v="I Did Something Bad"/>
        <s v="Don’t Blame Me"/>
        <s v="Delicate"/>
        <s v="Look What You Made Me Do"/>
        <s v="So It Goes..."/>
        <s v="Gorgeous"/>
        <s v="Getaway Car"/>
        <s v="King Of My Heart"/>
        <s v="Dancing With Our Hands Tied"/>
        <s v="Dress"/>
        <s v="This Is Why We Can't Have Nice Things"/>
        <s v="Call It What You Want"/>
        <s v="New Year’s Day"/>
        <s v="All Too Well"/>
        <s v="Wildest Dreams"/>
        <s v="The Best Day"/>
        <s v="Red"/>
        <s v="Holy Ground"/>
        <s v="Teardrops On My Guitar - Radio Single Remix"/>
        <s v="Our Song"/>
        <n v="22"/>
        <s v="I Knew You Were Trouble."/>
        <s v="I Don’t Wanna Live Forever (Fifty Shades Darker)"/>
        <s v="Mean"/>
        <s v="How You Get The Girl"/>
        <s v="Fifteen"/>
        <s v="Mine"/>
        <s v="Sparks Fly"/>
        <s v="State Of Grace"/>
        <s v="Haunted"/>
        <s v="Never Grow Up"/>
        <s v="Treacherous"/>
        <s v="Babe"/>
        <s v="Welcome To New York"/>
        <s v="Fearless"/>
        <s v="Enchanted"/>
        <s v="Change"/>
        <s v="Ours"/>
        <s v="Out Of The Woods"/>
        <s v="Come Back...Be Here"/>
        <s v="A Place in this World"/>
        <s v="This Love"/>
        <s v="The Lucky One"/>
        <s v="Invisible"/>
        <s v="Breathe"/>
        <s v="Better Man"/>
        <s v="Jump Then Fall"/>
        <s v="Begin Again"/>
        <s v="Tied Together with a Smile"/>
        <s v="The Story Of Us"/>
        <s v="Forever &amp; Always"/>
        <s v="Hey Stephen"/>
        <s v="Speak Now"/>
        <s v="Wonderland"/>
        <s v="White Horse"/>
        <s v="I'm Only Me When I'm With You"/>
        <s v="Starlight"/>
        <s v="I Know Places"/>
        <s v="Blank Space"/>
        <s v="Style"/>
        <s v="All You Had To Do Was Stay"/>
        <s v="Shake It Off"/>
        <s v="I Wish You Would"/>
        <s v="Bad Blood"/>
        <s v="Clean"/>
        <s v="You Are In Love"/>
        <s v="New Romantics"/>
        <s v="I Know Places - Voice Memo"/>
        <s v="I Wish You Would - Voice Memo"/>
        <s v="Blank Space - Voice Memo"/>
        <s v="I Almost Do"/>
        <s v="We Are Never Ever Getting Back Together"/>
        <s v="Stay Stay Stay"/>
        <s v="The Last Time"/>
        <s v="Sad Beautiful Tragic"/>
        <s v="Everything Has Changed"/>
        <s v="The Moment I Knew"/>
        <s v="Girl At Home"/>
        <s v="Treacherous - Original Demo Recording"/>
        <s v="Red - Original Demo Recording"/>
        <s v="State Of Grace - Acoustic"/>
        <s v="Sparks Fly - Live/2011"/>
        <s v="Mine - Live/2011"/>
        <s v="The Story Of Us - Live"/>
        <s v="Mean - Live/2011"/>
        <s v="Ours - Live/2011"/>
        <s v="Back To December/Apologize/You're Not Sorry - Live/2011/Medley"/>
        <s v="Better Than Revenge - Live/2011"/>
        <s v="Speak Now - Live/2011"/>
        <s v="Last Kiss - Live/2011"/>
        <s v="Drops Of Jupiter - Live/2011"/>
        <s v="Bette Davis Eyes - Live/2011"/>
        <s v="I Want You Back - Live/2011"/>
        <s v="Dear John - Live/2011"/>
        <s v="Enchanted - Live/2011"/>
        <s v="Haunted - Live/2011"/>
        <s v="Long Live - Live/2011"/>
        <s v="Mine - POP Mix"/>
        <s v="Back To December"/>
        <s v="Dear John"/>
        <s v="Better Than Revenge"/>
        <s v="Innocent"/>
        <s v="Last Kiss"/>
        <s v="Long Live"/>
        <s v="If This Was A Movie"/>
        <s v="Superman"/>
        <s v="Back To December - Acoustic"/>
        <s v="Haunted - Acoustic Version"/>
        <s v="Untouchable"/>
        <s v="Forever &amp; Always - Piano Version"/>
        <s v="Come In With The Rain"/>
        <s v="SuperStar"/>
        <s v="The Other Side Of The Door"/>
        <s v="Love Story"/>
        <s v="You Belong With Me"/>
        <s v="Tell Me Why"/>
        <s v="You're Not Sorry"/>
        <s v="The Way I Loved You"/>
        <s v="Our Song - International Mix"/>
        <s v="Teardrops On My Guitar - International Mix"/>
        <s v="Should've Said No - International Mix"/>
        <s v="Love Story - Live From Clear Channel Stripped 2008"/>
        <s v="Fearless - Live From Clear Channel Stripped 2008"/>
        <s v="Beautiful Eyes - Live From Clear Channel Stripped 2008"/>
        <s v="Untouchable - Live From Clear Channel Stripped 2008"/>
        <s v="Teardrops On My Guitar - Live From Clear Channel Stripped 2008"/>
        <s v="Picture To Burn - Live From Clear Channel Stripped 2008"/>
        <s v="Should've Said No - Live From Clear Channel Stripped 2008"/>
        <s v="Change - Live From Clear Channel Stripped 2008"/>
        <s v="Tim McGraw"/>
        <s v="Picture To Burn"/>
        <s v="Cold As You"/>
        <s v="The Outside"/>
        <s v="Stay Beautiful"/>
        <s v="Should've Said No"/>
        <s v="Mary's Song (Oh My My My)"/>
        <s v="A Perfectly Good Heart"/>
        <s v="Teardrops on My Guitar - Pop Version"/>
      </sharedItems>
    </cacheField>
    <cacheField name="album" numFmtId="0">
      <sharedItems containsMixedTypes="1" containsNumber="1" containsInteger="1" minValue="1989" maxValue="1989" count="29">
        <s v="THE TORTURED POETS DEPARTMENT: THE ANTHOLOGY"/>
        <s v="THE TORTURED POETS DEPARTMENT"/>
        <s v="1989 (Taylor's Version) [Deluxe]"/>
        <s v="1989 (Taylor's Version)"/>
        <s v="Speak Now (Taylor's Version)"/>
        <s v="Midnights (The Til Dawn Edition)"/>
        <s v="Midnights (3am Edition)"/>
        <s v="Midnights"/>
        <s v="Red (Taylor's Version)"/>
        <s v="Fearless (Taylor's Version)"/>
        <s v="evermore (deluxe version)"/>
        <s v="evermore"/>
        <s v="folklore: the long pond studio sessions (from the Disney+ special) [deluxe edition]"/>
        <s v="folklore (deluxe version)"/>
        <s v="folklore"/>
        <s v="Lover"/>
        <s v="reputation"/>
        <s v="reputation Stadium Tour Surprise Song Playlist"/>
        <s v="1989 (Deluxe)"/>
        <n v="1989"/>
        <s v="Red (Deluxe Edition)"/>
        <s v="Red"/>
        <s v="Speak Now World Tour Live"/>
        <s v="Speak Now"/>
        <s v="Speak Now (Deluxe Package)"/>
        <s v="Fearless (Platinum Edition)"/>
        <s v="Fearless (International Version)"/>
        <s v="Live From Clear Channel Stripped 2008"/>
        <s v="Taylor Swift (Deluxe Edition)"/>
      </sharedItems>
    </cacheField>
    <cacheField name="release_date" numFmtId="164">
      <sharedItems containsSemiMixedTypes="0" containsNonDate="0" containsDate="1" containsString="0" minDate="2006-10-24T00:00:00" maxDate="2024-04-20T00:00:00"/>
    </cacheField>
    <cacheField name="track_number" numFmtId="0">
      <sharedItems containsSemiMixedTypes="0" containsString="0" containsNumber="1" containsInteger="1" minValue="1" maxValue="46"/>
    </cacheField>
    <cacheField name="acousticness" numFmtId="0">
      <sharedItems containsDate="1" containsMixedTypes="1" minDate="1899-12-30T00:05:00" maxDate="1900-01-01T18:49:03"/>
    </cacheField>
    <cacheField name="danceability" numFmtId="0">
      <sharedItems containsSemiMixedTypes="0" containsDate="1" containsString="0" containsMixedTypes="1" minDate="1899-12-30T00:08:00" maxDate="1899-12-30T00:00:00" count="268">
        <n v="0.35000000000000003"/>
        <n v="0.41944444444444445"/>
        <n v="0.41388888888888892"/>
        <n v="0.3756944444444445"/>
        <n v="0.29375000000000001"/>
        <n v="0.36180555555555555"/>
        <d v="1899-12-30T00:33:00"/>
        <n v="0.37013888888888885"/>
        <n v="0.43472222222222223"/>
        <n v="0.42083333333333334"/>
        <n v="0.45902777777777781"/>
        <n v="0.48680555555555555"/>
        <n v="0.29583333333333334"/>
        <n v="4.4444444444444446E-2"/>
        <n v="0.47638888888888892"/>
        <n v="0.3659722222222222"/>
        <n v="0.5444444444444444"/>
        <n v="0.24444444444444444"/>
        <n v="0.35833333333333334"/>
        <n v="0.34166666666666662"/>
        <n v="0.25416666666666665"/>
        <n v="0.33680555555555558"/>
        <n v="0.42291666666666666"/>
        <n v="0.52986111111111112"/>
        <n v="0.29236111111111113"/>
        <n v="0.40763888888888888"/>
        <n v="0.23750000000000002"/>
        <n v="0.31597222222222221"/>
        <n v="0.33055555555555555"/>
        <n v="0.35347222222222219"/>
        <n v="5.2777777777777778E-2"/>
        <n v="0.5083333333333333"/>
        <n v="0.35694444444444445"/>
        <n v="0.37777777777777777"/>
        <n v="0.40902777777777777"/>
        <n v="0.43888888888888888"/>
        <n v="0.46597222222222223"/>
        <n v="0.43333333333333335"/>
        <n v="0.52847222222222223"/>
        <d v="1899-12-30T00:47:00"/>
        <n v="0.3972222222222222"/>
        <n v="0.54305555555555551"/>
        <n v="0.26874999999999999"/>
        <n v="0.38472222222222219"/>
        <n v="0.45347222222222222"/>
        <n v="0.43124999999999997"/>
        <d v="1899-12-30T00:08:00"/>
        <n v="0.4826388888888889"/>
        <n v="0.41597222222222219"/>
        <n v="0.44930555555555557"/>
        <n v="0.4201388888888889"/>
        <n v="0.33749999999999997"/>
        <n v="0.50972222222222219"/>
        <n v="0.26319444444444445"/>
        <n v="0.36527777777777781"/>
        <n v="0.47500000000000003"/>
        <d v="1899-12-30T00:52:00"/>
        <n v="0.35069444444444442"/>
        <n v="0.36388888888888887"/>
        <d v="1899-12-30T00:44:00"/>
        <n v="0.38680555555555557"/>
        <d v="1899-12-30T00:38:00"/>
        <n v="0.3743055555555555"/>
        <n v="0.37291666666666662"/>
        <n v="0.37986111111111115"/>
        <n v="0.40138888888888885"/>
        <n v="0.46666666666666662"/>
        <n v="0.4368055555555555"/>
        <n v="0.51041666666666663"/>
        <n v="0.4548611111111111"/>
        <n v="0.43958333333333338"/>
        <n v="0.4604166666666667"/>
        <n v="0.48333333333333334"/>
        <n v="0.45416666666666666"/>
        <n v="0.60555555555555551"/>
        <n v="0.4770833333333333"/>
        <d v="1899-12-30T00:48:00"/>
        <n v="0.23333333333333331"/>
        <n v="4.5833333333333337E-2"/>
        <d v="1899-12-30T00:57:00"/>
        <d v="1899-12-30T00:42:00"/>
        <n v="0.48819444444444443"/>
        <n v="0.39652777777777781"/>
        <n v="0.47013888888888888"/>
        <n v="0.4680555555555555"/>
        <n v="0.46249999999999997"/>
        <n v="0.46111111111111108"/>
        <n v="0.42708333333333331"/>
        <n v="0.41250000000000003"/>
        <n v="0.44791666666666669"/>
        <n v="0.4055555555555555"/>
        <n v="0.4458333333333333"/>
        <n v="0.35486111111111113"/>
        <n v="0.39374999999999999"/>
        <n v="0.48125000000000001"/>
        <n v="0.34861111111111115"/>
        <n v="0.43194444444444446"/>
        <n v="0.41736111111111113"/>
        <n v="0.34583333333333338"/>
        <n v="0.43611111111111112"/>
        <n v="0.36041666666666666"/>
        <n v="0.44166666666666665"/>
        <d v="1899-12-30T00:46:00"/>
        <n v="0.47986111111111113"/>
        <n v="0.30902777777777779"/>
        <n v="0.43263888888888885"/>
        <n v="0.32847222222222222"/>
        <n v="0.27152777777777776"/>
        <n v="0.42430555555555555"/>
        <n v="4.2361111111111106E-2"/>
        <n v="0.47083333333333338"/>
        <n v="0.4381944444444445"/>
        <n v="0.39513888888888887"/>
        <n v="0.38819444444444445"/>
        <n v="0.43541666666666662"/>
        <n v="0.54722222222222217"/>
        <n v="0.35138888888888892"/>
        <n v="0.27916666666666667"/>
        <n v="0.4152777777777778"/>
        <n v="0.34652777777777777"/>
        <n v="0.27291666666666664"/>
        <n v="0.37916666666666665"/>
        <n v="0.31527777777777777"/>
        <n v="0.3"/>
        <n v="0.3347222222222222"/>
        <n v="0.40833333333333338"/>
        <n v="0.39097222222222222"/>
        <n v="0.2722222222222222"/>
        <n v="0.32083333333333336"/>
        <n v="0.35555555555555557"/>
        <n v="0.39930555555555558"/>
        <n v="0.21944444444444444"/>
        <n v="0.3576388888888889"/>
        <n v="0.37152777777777773"/>
        <n v="0.47847222222222219"/>
        <d v="1899-12-30T00:39:00"/>
        <n v="0.40347222222222223"/>
        <n v="0.41111111111111115"/>
        <n v="5.4166666666666669E-2"/>
        <n v="0.42499999999999999"/>
        <n v="0.4777777777777778"/>
        <d v="1899-12-30T00:31:00"/>
        <n v="0.31666666666666665"/>
        <n v="0.38125000000000003"/>
        <n v="0.41805555555555557"/>
        <n v="0.36736111111111108"/>
        <n v="0.45208333333333334"/>
        <n v="0.41180555555555554"/>
        <n v="0.22013888888888888"/>
        <n v="0.41319444444444442"/>
        <n v="0.44722222222222219"/>
        <n v="0.4694444444444445"/>
        <n v="0.21736111111111112"/>
        <n v="0.4916666666666667"/>
        <n v="0.27430555555555552"/>
        <n v="0.24930555555555556"/>
        <n v="0.36874999999999997"/>
        <n v="0.48194444444444445"/>
        <n v="0.30208333333333331"/>
        <n v="0.33958333333333335"/>
        <d v="1899-12-30T00:59:00"/>
        <n v="0.37361111111111112"/>
        <n v="0.42986111111111108"/>
        <n v="0.47361111111111115"/>
        <n v="0.5395833333333333"/>
        <n v="0.42569444444444443"/>
        <n v="0.20694444444444446"/>
        <n v="0.32569444444444445"/>
        <n v="0.3840277777777778"/>
        <n v="0.36944444444444446"/>
        <n v="0.12152777777777778"/>
        <n v="0.4597222222222222"/>
        <n v="0.3833333333333333"/>
        <n v="0.20277777777777775"/>
        <n v="0.62291666666666667"/>
        <n v="0.56319444444444444"/>
        <n v="0.57222222222222219"/>
        <n v="0.49444444444444446"/>
        <n v="0.30069444444444443"/>
        <n v="0.5131944444444444"/>
        <n v="0.53541666666666665"/>
        <n v="0.52500000000000002"/>
        <n v="0.51180555555555551"/>
        <n v="0.45069444444444445"/>
        <n v="5.2083333333333336E-2"/>
        <n v="0.53194444444444444"/>
        <n v="0.39861111111111108"/>
        <n v="0.39027777777777778"/>
        <n v="0.46875"/>
        <n v="0.4993055555555555"/>
        <n v="0.3215277777777778"/>
        <d v="1899-12-30T00:55:00"/>
        <n v="0.46388888888888885"/>
        <n v="0.37847222222222227"/>
        <n v="0.37222222222222223"/>
        <n v="5.0694444444444438E-2"/>
        <n v="0.39999999999999997"/>
        <n v="0.53055555555555556"/>
        <n v="0.41041666666666665"/>
        <d v="1899-12-30T00:43:00"/>
        <n v="0.49583333333333335"/>
        <n v="0.48888888888888887"/>
        <n v="0.40069444444444446"/>
        <n v="0.54791666666666672"/>
        <n v="0.41875000000000001"/>
        <n v="0.37708333333333338"/>
        <n v="0.3979166666666667"/>
        <n v="0.49027777777777781"/>
        <n v="0.42222222222222222"/>
        <n v="0.30694444444444441"/>
        <n v="0.34930555555555554"/>
        <n v="0.4284722222222222"/>
        <n v="0.33194444444444443"/>
        <n v="0.42152777777777778"/>
        <n v="0.5854166666666667"/>
        <n v="0.29305555555555557"/>
        <n v="0.38611111111111113"/>
        <n v="0.44861111111111113"/>
        <n v="0.53125"/>
        <n v="0.33402777777777781"/>
        <n v="0.56597222222222221"/>
        <n v="0.32916666666666666"/>
        <n v="0.54236111111111118"/>
        <n v="0.55069444444444449"/>
        <n v="0.52222222222222225"/>
        <n v="0.45"/>
        <n v="0.45277777777777778"/>
        <n v="5.6250000000000001E-2"/>
        <n v="0.50624999999999998"/>
        <d v="1899-12-30T00:53:00"/>
        <n v="0.3354166666666667"/>
        <n v="0.50902777777777775"/>
        <n v="0.57500000000000007"/>
        <n v="0.48958333333333331"/>
        <n v="0.45694444444444443"/>
        <n v="0.3444444444444445"/>
        <n v="0.29097222222222224"/>
        <n v="0.29791666666666666"/>
        <n v="0.25972222222222224"/>
        <n v="0.29652777777777778"/>
        <n v="0.22708333333333333"/>
        <d v="1899-12-30T00:34:00"/>
        <n v="0.23472222222222225"/>
        <n v="0.35902777777777778"/>
        <n v="0.40486111111111112"/>
        <n v="0.49652777777777773"/>
        <n v="0.30138888888888887"/>
        <n v="0.28611111111111109"/>
        <n v="0.40416666666666662"/>
        <n v="0.36458333333333331"/>
        <n v="0.4291666666666667"/>
        <n v="0.40625"/>
        <n v="0.31875000000000003"/>
        <n v="0.30277777777777776"/>
        <n v="0.38055555555555554"/>
        <n v="0.38541666666666669"/>
        <n v="4.3055555555555562E-2"/>
        <n v="0.33888888888888885"/>
        <n v="0.32708333333333334"/>
        <n v="0.27638888888888891"/>
        <n v="0.51458333333333328"/>
        <n v="0.50763888888888886"/>
        <n v="0.2388888888888889"/>
        <n v="0.16874999999999998"/>
        <d v="1899-12-30T00:58:00"/>
        <n v="0.2902777777777778"/>
        <n v="0.33263888888888887"/>
        <n v="0.27986111111111112"/>
      </sharedItems>
    </cacheField>
    <cacheField name="energy" numFmtId="0">
      <sharedItems containsSemiMixedTypes="0" containsDate="1" containsString="0" containsMixedTypes="1" minDate="1899-12-30T00:02:00" maxDate="4733-01-17T20:50:03" count="332">
        <n v="0.26805555555555555"/>
        <n v="0.29722222222222222"/>
        <n v="0.39097222222222222"/>
        <n v="0.25416666666666665"/>
        <n v="0.37013888888888885"/>
        <n v="4.9999999999999996E-2"/>
        <n v="0.3354166666666667"/>
        <n v="0.3979166666666667"/>
        <n v="0.23472222222222225"/>
        <n v="0.17847222222222223"/>
        <n v="0.18888888888888888"/>
        <n v="0.52152777777777781"/>
        <d v="1899-12-30T00:41:00"/>
        <n v="0.29236111111111113"/>
        <n v="0.22083333333333333"/>
        <d v="1899-12-30T00:27:00"/>
        <n v="0.27152777777777776"/>
        <n v="0.33263888888888887"/>
        <n v="0.31319444444444444"/>
        <n v="0.26319444444444445"/>
        <n v="0.60138888888888886"/>
        <n v="0.39027777777777778"/>
        <n v="0.3756944444444445"/>
        <n v="0.19027777777777777"/>
        <n v="0.36458333333333331"/>
        <n v="0.40763888888888888"/>
        <n v="0.26111111111111113"/>
        <n v="0.4069444444444445"/>
        <n v="0.17777777777777778"/>
        <n v="0.41805555555555557"/>
        <n v="0.4993055555555555"/>
        <n v="0.57013888888888886"/>
        <n v="0.61388888888888882"/>
        <n v="0.49513888888888885"/>
        <n v="0.55902777777777779"/>
        <n v="0.59236111111111112"/>
        <n v="0.49374999999999997"/>
        <n v="0.4604166666666667"/>
        <n v="4.6527777777777779E-2"/>
        <n v="0.3430555555555555"/>
        <n v="0.56041666666666667"/>
        <n v="0.48819444444444443"/>
        <n v="0.35347222222222219"/>
        <n v="0.58888888888888891"/>
        <n v="0.28819444444444448"/>
        <n v="0.3743055555555555"/>
        <n v="0.42152777777777778"/>
        <n v="0.45208333333333334"/>
        <n v="0.44722222222222219"/>
        <n v="0.55069444444444449"/>
        <n v="0.53402777777777777"/>
        <n v="0.44097222222222227"/>
        <n v="0.47638888888888892"/>
        <n v="0.32500000000000001"/>
        <d v="1899-12-30T00:07:00"/>
        <n v="0.5444444444444444"/>
        <n v="0.23541666666666669"/>
        <n v="0.3840277777777778"/>
        <n v="0.62013888888888891"/>
        <n v="0.42430555555555555"/>
        <n v="0.63611111111111118"/>
        <n v="0.25138888888888888"/>
        <n v="0.43611111111111112"/>
        <n v="0.3298611111111111"/>
        <n v="0.50902777777777775"/>
        <n v="0.59305555555555556"/>
        <n v="0.52708333333333335"/>
        <n v="0.53333333333333333"/>
        <n v="0.3923611111111111"/>
        <n v="0.42569444444444443"/>
        <n v="0.40138888888888885"/>
        <n v="0.31180555555555556"/>
        <n v="0.26666666666666666"/>
        <n v="0.45"/>
        <n v="0.22291666666666665"/>
        <d v="1899-12-30T00:39:00"/>
        <n v="0.26041666666666669"/>
        <d v="1899-12-30T00:51:00"/>
        <n v="0.18541666666666667"/>
        <n v="0.38263888888888892"/>
        <n v="0.20486111111111113"/>
        <n v="0.42986111111111108"/>
        <n v="0.11180555555555555"/>
        <n v="0.23819444444444446"/>
        <n v="0.51874999999999993"/>
        <d v="1899-12-30T00:22:00"/>
        <n v="0.35972222222222222"/>
        <n v="0.37986111111111115"/>
        <d v="1899-12-30T00:47:00"/>
        <n v="0.58750000000000002"/>
        <n v="0.54583333333333328"/>
        <n v="0.27708333333333335"/>
        <n v="0.43472222222222223"/>
        <n v="0.5395833333333333"/>
        <n v="0.41180555555555554"/>
        <n v="0.38680555555555557"/>
        <n v="0.3666666666666667"/>
        <n v="0.4826388888888889"/>
        <n v="0.38819444444444445"/>
        <n v="0.47291666666666665"/>
        <n v="0.37083333333333335"/>
        <n v="0.56180555555555556"/>
        <n v="0.28194444444444444"/>
        <n v="0.39652777777777781"/>
        <n v="4.2361111111111106E-2"/>
        <n v="0.47569444444444442"/>
        <n v="0.3659722222222222"/>
        <n v="0.27916666666666667"/>
        <n v="0.43888888888888888"/>
        <n v="0.51111111111111118"/>
        <n v="9.0972222222222218E-2"/>
        <n v="0.19375000000000001"/>
        <n v="0.40208333333333335"/>
        <n v="0.26180555555555557"/>
        <n v="0.51597222222222217"/>
        <n v="0.5493055555555556"/>
        <n v="0.49652777777777773"/>
        <n v="0.3833333333333333"/>
        <n v="0.33888888888888885"/>
        <n v="0.51458333333333328"/>
        <n v="0.44861111111111113"/>
        <n v="0.54999999999999993"/>
        <n v="0.35902777777777778"/>
        <n v="0.53680555555555554"/>
        <n v="0.63124999999999998"/>
        <n v="0.30833333333333335"/>
        <n v="0.5083333333333333"/>
        <n v="0.39999999999999997"/>
        <n v="0.56597222222222221"/>
        <n v="4.7916666666666663E-2"/>
        <n v="0.36874999999999997"/>
        <n v="0.18958333333333333"/>
        <n v="0.39166666666666666"/>
        <n v="0.38541666666666669"/>
        <n v="0.60625000000000007"/>
        <n v="0.54097222222222219"/>
        <n v="0.56736111111111109"/>
        <n v="0.2590277777777778"/>
        <n v="0.42222222222222222"/>
        <n v="0.32847222222222222"/>
        <n v="0.43333333333333335"/>
        <n v="0.39861111111111108"/>
        <d v="1899-12-30T00:24:00"/>
        <n v="0.32083333333333336"/>
        <n v="0.30138888888888887"/>
        <n v="0.25069444444444444"/>
        <n v="0.23194444444444443"/>
        <n v="0.37291666666666662"/>
        <n v="0.37847222222222227"/>
        <n v="5.0694444444444438E-2"/>
        <n v="0.38958333333333334"/>
        <n v="0.48888888888888887"/>
        <d v="1899-12-30T00:58:00"/>
        <n v="0.45347222222222222"/>
        <n v="0.25972222222222224"/>
        <n v="0.18402777777777779"/>
        <n v="0.28958333333333336"/>
        <n v="0.44027777777777777"/>
        <n v="0.33194444444444443"/>
        <n v="0.21111111111111111"/>
        <n v="0.31875000000000003"/>
        <n v="0.1763888888888889"/>
        <n v="0.19722222222222222"/>
        <n v="0.12361111111111112"/>
        <n v="0.17916666666666667"/>
        <d v="1899-12-30T00:25:00"/>
        <n v="0.16250000000000001"/>
        <n v="0.4291666666666667"/>
        <n v="0.21180555555555555"/>
        <n v="0.11944444444444445"/>
        <n v="0.23055555555555554"/>
        <n v="0.16319444444444445"/>
        <n v="0.19583333333333333"/>
        <n v="0.32291666666666669"/>
        <d v="1899-12-30T00:02:00"/>
        <n v="0.21944444444444444"/>
        <n v="0.2388888888888889"/>
        <n v="0.1076388888888889"/>
        <n v="0.1534722222222222"/>
        <n v="0.24791666666666667"/>
        <n v="0.40347222222222223"/>
        <n v="0.4597222222222222"/>
        <d v="1899-12-30T00:38:00"/>
        <n v="0.18263888888888891"/>
        <n v="0.28680555555555559"/>
        <n v="0.43263888888888885"/>
        <n v="0.33055555555555555"/>
        <d v="1899-12-30T00:31:00"/>
        <n v="0.31388888888888888"/>
        <n v="0.48541666666666666"/>
        <n v="0.12569444444444444"/>
        <n v="0.48749999999999999"/>
        <n v="0.37708333333333338"/>
        <n v="0.45694444444444443"/>
        <n v="4.9305555555555554E-2"/>
        <n v="0.12638888888888888"/>
        <d v="1899-12-30T00:32:00"/>
        <n v="0.46597222222222223"/>
        <n v="5.7638888888888885E-2"/>
        <n v="0.12152777777777778"/>
        <n v="0.3444444444444445"/>
        <n v="0.53055555555555556"/>
        <n v="0.40902777777777777"/>
        <n v="0.28055555555555556"/>
        <n v="0.49236111111111108"/>
        <n v="0.37152777777777773"/>
        <n v="0.47847222222222219"/>
        <n v="0.47986111111111113"/>
        <n v="0.32569444444444445"/>
        <n v="0.54791666666666672"/>
        <n v="0.35000000000000003"/>
        <n v="0.10486111111111111"/>
        <n v="0.4201388888888889"/>
        <n v="0.4777777777777778"/>
        <n v="0.31111111111111112"/>
        <n v="0.62430555555555556"/>
        <n v="0.56666666666666665"/>
        <n v="0.29652777777777778"/>
        <n v="0.32222222222222224"/>
        <n v="0.52430555555555558"/>
        <n v="0.45624999999999999"/>
        <n v="4.3750000000000004E-2"/>
        <n v="0.54236111111111118"/>
        <n v="0.54305555555555551"/>
        <n v="0.57500000000000007"/>
        <n v="0.65833333333333333"/>
        <n v="0.21458333333333335"/>
        <n v="0.43124999999999997"/>
        <n v="0.54513888888888895"/>
        <n v="0.49791666666666662"/>
        <n v="0.4368055555555555"/>
        <d v="1899-12-30T00:56:00"/>
        <n v="0.58402777777777781"/>
        <n v="0.38055555555555554"/>
        <n v="0.53263888888888888"/>
        <n v="0.30208333333333331"/>
        <n v="0.35069444444444442"/>
        <d v="1899-12-30T00:48:00"/>
        <n v="0.58611111111111114"/>
        <n v="0.36527777777777781"/>
        <n v="0.5756944444444444"/>
        <n v="0.41875000000000001"/>
        <n v="0.48055555555555557"/>
        <n v="0.24166666666666667"/>
        <n v="0.6479166666666667"/>
        <n v="0.50347222222222221"/>
        <d v="1899-12-30T00:08:00"/>
        <n v="0.55138888888888882"/>
        <n v="0.45555555555555555"/>
        <n v="0.61736111111111114"/>
        <n v="8.8888888888888892E-2"/>
        <n v="0.47083333333333338"/>
        <n v="0.51041666666666663"/>
        <n v="0.62361111111111112"/>
        <n v="0.55694444444444446"/>
        <n v="0.46111111111111108"/>
        <n v="0.45763888888888887"/>
        <n v="0.52986111111111112"/>
        <n v="0.57291666666666663"/>
        <n v="0.62222222222222223"/>
        <n v="0.42291666666666666"/>
        <n v="0.50624999999999998"/>
        <n v="0.33402777777777781"/>
        <n v="0.4694444444444445"/>
        <n v="0.51944444444444449"/>
        <n v="0.30763888888888891"/>
        <d v="1899-12-30T00:34:00"/>
        <n v="0.34652777777777777"/>
        <n v="0.31805555555555559"/>
        <n v="0.35138888888888892"/>
        <d v="1899-12-30T00:59:00"/>
        <n v="4.4444444444444446E-2"/>
        <n v="0.62638888888888888"/>
        <n v="8.1944444444444445E-2"/>
        <n v="0.54375000000000007"/>
        <n v="0.59166666666666667"/>
        <n v="0.63055555555555554"/>
        <n v="0.63541666666666663"/>
        <n v="0.24652777777777779"/>
        <n v="0.35833333333333334"/>
        <n v="0.61597222222222225"/>
        <n v="0.48194444444444445"/>
        <n v="0.27430555555555552"/>
        <n v="0.35555555555555557"/>
        <n v="0.56805555555555554"/>
        <n v="0.50555555555555554"/>
        <n v="0.42083333333333334"/>
        <n v="0.41736111111111113"/>
        <n v="0.59375"/>
        <n v="0.21388888888888891"/>
        <n v="0.63680555555555551"/>
        <n v="0.41944444444444445"/>
        <n v="0.65555555555555556"/>
        <n v="0.22847222222222222"/>
        <n v="0.47361111111111115"/>
        <n v="0.38611111111111113"/>
        <n v="0.50277777777777777"/>
        <n v="5.4166666666666669E-2"/>
        <n v="0.4770833333333333"/>
        <n v="0.31527777777777777"/>
        <d v="1899-12-30T00:16:00"/>
        <n v="0.32013888888888892"/>
        <n v="0.49583333333333335"/>
        <n v="0.44166666666666665"/>
        <n v="0.24027777777777778"/>
        <n v="0.53541666666666665"/>
        <n v="0.33749999999999997"/>
        <n v="0.49444444444444446"/>
        <n v="0.31041666666666667"/>
        <n v="0.52500000000000002"/>
        <n v="0.48958333333333331"/>
        <n v="0.44375000000000003"/>
        <n v="0.23750000000000002"/>
        <n v="0.53819444444444442"/>
        <n v="0.32777777777777778"/>
        <n v="0.50208333333333333"/>
        <d v="1899-12-30T00:44:00"/>
        <n v="0.48333333333333334"/>
        <n v="0.52847222222222223"/>
        <n v="0.18472222222222223"/>
        <n v="0.1277777777777778"/>
        <n v="0.55625000000000002"/>
        <n v="0.60555555555555551"/>
        <n v="0.56111111111111112"/>
        <n v="0.34097222222222223"/>
        <n v="0.60902777777777783"/>
        <n v="0.3347222222222222"/>
        <n v="0.43541666666666662"/>
        <n v="0.46666666666666662"/>
        <n v="0.64861111111111114"/>
        <n v="0.27361111111111108"/>
        <n v="0.5229166666666667"/>
      </sharedItems>
    </cacheField>
    <cacheField name="instrumentalness" numFmtId="0">
      <sharedItems containsDate="1" containsMixedTypes="1" minDate="1899-12-30T00:00:00" maxDate="1899-12-31T00:00:00"/>
    </cacheField>
    <cacheField name="liveness" numFmtId="0">
      <sharedItems containsDate="1" containsMixedTypes="1" minDate="1899-12-30T00:01:00" maxDate="1899-12-30T00:00:00"/>
    </cacheField>
    <cacheField name="loudness" numFmtId="0">
      <sharedItems containsMixedTypes="1" containsNumber="1" containsInteger="1" minValue="-17932" maxValue="-1927"/>
    </cacheField>
    <cacheField name="speechiness" numFmtId="0">
      <sharedItems containsDate="1" containsMixedTypes="1" minDate="1899-12-30T00:03:00" maxDate="1899-12-30T00:00:00"/>
    </cacheField>
    <cacheField name="tempo" numFmtId="0">
      <sharedItems containsDate="1" containsMixedTypes="1" minDate="1900-01-06T20:01:04" maxDate="1900-01-04T09:09:05" count="439">
        <n v="192004"/>
        <n v="110259"/>
        <n v="97073"/>
        <n v="159707"/>
        <n v="160218"/>
        <n v="79943"/>
        <n v="87115"/>
        <n v="150088"/>
        <s v="94.95"/>
        <s v="119.88"/>
        <n v="106896"/>
        <n v="78539"/>
        <n v="129994"/>
        <n v="142377"/>
        <n v="100056"/>
        <n v="104088"/>
        <n v="154042"/>
        <n v="110007"/>
        <n v="172013"/>
        <n v="70266"/>
        <n v="83993"/>
        <d v="1900-01-06T08:07:00"/>
        <n v="105953"/>
        <n v="95997"/>
        <n v="90796"/>
        <n v="167927"/>
        <n v="139963"/>
        <n v="176859"/>
        <n v="183694"/>
        <n v="138265"/>
        <n v="94184"/>
        <n v="116989"/>
        <n v="96035"/>
        <n v="94884"/>
        <n v="91981"/>
        <n v="97069"/>
        <n v="160052"/>
        <n v="118032"/>
        <n v="169999"/>
        <n v="139993"/>
        <n v="120014"/>
        <n v="144039"/>
        <n v="160015"/>
        <s v="103.99"/>
        <d v="1900-01-04T03:18:00"/>
        <n v="85079"/>
        <n v="122017"/>
        <n v="77978"/>
        <n v="109962"/>
        <n v="109994"/>
        <n v="118043"/>
        <n v="100001"/>
        <n v="170088"/>
        <n v="121101"/>
        <n v="114921"/>
        <n v="141868"/>
        <n v="119002"/>
        <n v="119447"/>
        <n v="163949"/>
        <n v="139787"/>
        <n v="125054"/>
        <n v="81949"/>
        <n v="145913"/>
        <n v="133583"/>
        <n v="162025"/>
        <n v="79573"/>
        <n v="203826"/>
        <n v="159824"/>
        <n v="131898"/>
        <n v="131068"/>
        <n v="77879"/>
        <n v="123054"/>
        <n v="147781"/>
        <n v="97041"/>
        <n v="142887"/>
        <d v="1900-01-03T01:05:00"/>
        <n v="108058"/>
        <n v="96888"/>
        <n v="110021"/>
        <n v="120032"/>
        <n v="137651"/>
        <n v="108874"/>
        <n v="79964"/>
        <n v="163994"/>
        <n v="110018"/>
        <n v="90008"/>
        <d v="1900-01-06T08:48:00"/>
        <s v="125.96"/>
        <n v="96016"/>
        <n v="165564"/>
        <s v="110.94"/>
        <n v="175933"/>
        <n v="140881"/>
        <n v="157918"/>
        <n v="107891"/>
        <d v="1900-01-03T10:02:00"/>
        <n v="109937"/>
        <n v="89984"/>
        <n v="129958"/>
        <n v="125047"/>
        <n v="109984"/>
        <n v="154008"/>
        <n v="185972"/>
        <n v="103984"/>
        <s v="145.88"/>
        <n v="172014"/>
        <d v="1900-01-03T04:02:00"/>
        <d v="1900-01-02T22:05:00"/>
        <n v="156894"/>
        <n v="130059"/>
        <n v="117889"/>
        <n v="79918"/>
        <n v="126014"/>
        <n v="78915"/>
        <n v="125952"/>
        <n v="79846"/>
        <n v="125089"/>
        <n v="208918"/>
        <d v="1900-01-03T20:04:00"/>
        <n v="73942"/>
        <s v="101.96"/>
        <n v="167844"/>
        <n v="115915"/>
        <n v="149654"/>
        <n v="116012"/>
        <n v="125039"/>
        <n v="121009"/>
        <n v="93023"/>
        <n v="100118"/>
        <n v="95466"/>
        <n v="119054"/>
        <s v="115.99"/>
        <n v="185262"/>
        <n v="130033"/>
        <n v="148035"/>
        <n v="100023"/>
        <n v="133873"/>
        <n v="161032"/>
        <d v="1900-01-04T08:03:00"/>
        <d v="1900-01-04T05:00:00"/>
        <n v="95999"/>
        <n v="160111"/>
        <n v="200391"/>
        <n v="118753"/>
        <n v="143929"/>
        <n v="171862"/>
        <n v="163936"/>
        <n v="158162"/>
        <n v="142893"/>
        <n v="135942"/>
        <n v="106007"/>
        <n v="90201"/>
        <n v="101934"/>
        <n v="80132"/>
        <n v="81112"/>
        <n v="171319"/>
        <d v="1900-01-03T16:05:00"/>
        <n v="145916"/>
        <n v="74952"/>
        <n v="79015"/>
        <n v="122079"/>
        <n v="119966"/>
        <n v="107895"/>
        <n v="88856"/>
        <n v="127967"/>
        <n v="157895"/>
        <n v="96103"/>
        <n v="151884"/>
        <n v="125177"/>
        <n v="137915"/>
        <n v="151923"/>
        <n v="139902"/>
        <n v="130045"/>
        <n v="147991"/>
        <n v="75938"/>
        <n v="129947"/>
        <n v="110137"/>
        <n v="94955"/>
        <n v="89567"/>
        <n v="135882"/>
        <d v="1900-01-03T23:58:00"/>
        <n v="83455"/>
        <n v="141898"/>
        <n v="93933"/>
        <n v="95946"/>
        <n v="150072"/>
        <s v="118.84"/>
        <n v="179947"/>
        <n v="139803"/>
        <n v="86478"/>
        <n v="147948"/>
        <n v="151956"/>
        <n v="129007"/>
        <n v="109993"/>
        <n v="94963"/>
        <n v="89977"/>
        <n v="68097"/>
        <n v="117699"/>
        <n v="83438"/>
        <n v="141834"/>
        <s v="93.87"/>
        <s v="95.68"/>
        <n v="149897"/>
        <n v="118832"/>
        <n v="89844"/>
        <n v="139884"/>
        <n v="147922"/>
        <n v="75602"/>
        <s v="129.86"/>
        <n v="110107"/>
        <n v="94922"/>
        <n v="89937"/>
        <n v="135886"/>
        <n v="119845"/>
        <n v="83433"/>
        <n v="141916"/>
        <n v="94203"/>
        <n v="95939"/>
        <n v="150044"/>
        <n v="118819"/>
        <n v="92875"/>
        <n v="169994"/>
        <n v="68534"/>
        <n v="110048"/>
        <n v="124344"/>
        <n v="100003"/>
        <n v="103979"/>
        <n v="102012"/>
        <n v="94071"/>
        <n v="157925"/>
        <n v="207476"/>
        <s v="79.97"/>
        <n v="85026"/>
        <n v="111011"/>
        <n v="182162"/>
        <n v="70008"/>
        <n v="149983"/>
        <n v="159073"/>
        <n v="82989"/>
        <n v="135917"/>
        <n v="95045"/>
        <d v="1900-01-04T08:07:00"/>
        <n v="74957"/>
        <n v="92027"/>
        <n v="172054"/>
        <d v="1900-01-03T14:01:00"/>
        <n v="160024"/>
        <n v="120085"/>
        <s v="163.96"/>
        <n v="163954"/>
        <n v="186113"/>
        <n v="139998"/>
        <n v="126066"/>
        <n v="124982"/>
        <n v="157043"/>
        <n v="99962"/>
        <n v="178016"/>
        <n v="104009"/>
        <n v="77318"/>
        <n v="117979"/>
        <n v="163884"/>
        <n v="119995"/>
        <n v="74996"/>
        <n v="95124"/>
        <n v="121029"/>
        <n v="114974"/>
        <n v="162026"/>
        <n v="124892"/>
        <n v="109996"/>
        <s v="171.78"/>
        <d v="1900-01-03T21:00:00"/>
        <n v="100163"/>
        <n v="81963"/>
        <n v="159838"/>
        <n v="91999"/>
        <n v="79873"/>
        <n v="114985"/>
        <n v="143942"/>
        <n v="117935"/>
        <n v="95963"/>
        <n v="73849"/>
        <n v="143941"/>
        <n v="79979"/>
        <n v="78985"/>
        <n v="146134"/>
        <n v="139911"/>
        <n v="128055"/>
        <n v="116002"/>
        <n v="118979"/>
        <n v="184019"/>
        <n v="92671"/>
        <n v="159971"/>
        <n v="116992"/>
        <n v="94933"/>
        <n v="92008"/>
        <s v="96.97"/>
        <n v="160078"/>
        <n v="118035"/>
        <n v="170216"/>
        <n v="139997"/>
        <n v="119997"/>
        <s v="143.95"/>
        <n v="159965"/>
        <s v="103.97"/>
        <n v="184014"/>
        <n v="170109"/>
        <n v="121956"/>
        <n v="78828"/>
        <n v="118317"/>
        <n v="127296"/>
        <n v="117023"/>
        <n v="96009"/>
        <n v="95021"/>
        <n v="91993"/>
        <n v="96969"/>
        <d v="1900-01-05T16:02:00"/>
        <n v="118027"/>
        <n v="170157"/>
        <d v="1900-01-04T20:06:00"/>
        <n v="119982"/>
        <n v="71981"/>
        <n v="159959"/>
        <n v="103981"/>
        <n v="129968"/>
        <n v="124978"/>
        <n v="109995"/>
        <n v="77019"/>
        <d v="1900-01-02T21:06:00"/>
        <n v="103987"/>
        <n v="145865"/>
        <n v="85984"/>
        <n v="99981"/>
        <n v="94069"/>
        <n v="129987"/>
        <n v="117937"/>
        <n v="80016"/>
        <n v="126018"/>
        <n v="79025"/>
        <d v="1900-01-04T06:03:00"/>
        <n v="79926"/>
        <n v="125048"/>
        <n v="124998"/>
        <n v="105597"/>
        <n v="104007"/>
        <n v="80017"/>
        <n v="114981"/>
        <n v="120969"/>
        <n v="139813"/>
        <n v="163752"/>
        <n v="77769"/>
        <n v="142057"/>
        <n v="145954"/>
        <n v="118876"/>
        <n v="79517"/>
        <n v="109025"/>
        <d v="1900-01-03T08:46:00"/>
        <n v="97397"/>
        <n v="119518"/>
        <n v="163678"/>
        <n v="162157"/>
        <n v="101939"/>
        <d v="1900-01-04T01:05:00"/>
        <n v="141929"/>
        <n v="118962"/>
        <n v="119375"/>
        <n v="164004"/>
        <s v="139.92"/>
        <n v="124899"/>
        <n v="81975"/>
        <n v="145882"/>
        <n v="133989"/>
        <d v="1900-01-05T18:02:00"/>
        <n v="84358"/>
        <n v="203959"/>
        <n v="147788"/>
        <n v="131983"/>
        <n v="141713"/>
        <n v="80858"/>
        <n v="121038"/>
        <s v="141.95"/>
        <s v="139.91"/>
        <n v="79991"/>
        <n v="200017"/>
        <n v="118929"/>
        <s v="143.94"/>
        <n v="85979"/>
        <n v="163847"/>
        <n v="99979"/>
        <n v="95485"/>
        <n v="118982"/>
        <n v="115997"/>
        <n v="92564"/>
        <n v="129964"/>
        <n v="147952"/>
        <n v="100015"/>
        <n v="134018"/>
        <n v="160886"/>
        <n v="128012"/>
        <n v="126079"/>
        <n v="96038"/>
        <d v="1900-01-03T04:11:00"/>
        <n v="95431"/>
        <n v="119055"/>
        <d v="1900-01-03T20:00:00"/>
        <s v="92.71"/>
        <n v="129969"/>
        <n v="147926"/>
        <n v="99999"/>
        <s v="133.96"/>
        <n v="160872"/>
        <d v="1900-01-04T08:00:00"/>
        <n v="126059"/>
        <n v="96017"/>
        <n v="177936"/>
        <n v="99974"/>
        <n v="168092"/>
        <n v="119006"/>
        <n v="96601"/>
        <n v="98958"/>
        <n v="102404"/>
        <n v="204489"/>
        <n v="105798"/>
        <n v="171537"/>
        <n v="202319"/>
        <n v="76009"/>
        <n v="105586"/>
        <n v="99953"/>
        <n v="115028"/>
        <n v="175558"/>
        <n v="112982"/>
        <n v="146165"/>
        <n v="131597"/>
        <n v="167964"/>
        <d v="1900-01-02T02:09:00"/>
        <n v="89011"/>
        <n v="143964"/>
        <n v="96001"/>
        <n v="156092"/>
        <n v="199997"/>
      </sharedItems>
    </cacheField>
    <cacheField name="valence" numFmtId="0">
      <sharedItems containsSemiMixedTypes="0" containsDate="1" containsString="0" containsMixedTypes="1" minDate="1900-01-02T16:50:03" maxDate="1900-01-02T17:47:03" count="307">
        <n v="0.19513888888888889"/>
        <n v="0.20277777777777775"/>
        <n v="0.33402777777777781"/>
        <n v="0.11666666666666665"/>
        <n v="0.17222222222222225"/>
        <n v="0.30416666666666664"/>
        <d v="1899-12-30T00:34:00"/>
        <n v="0.27638888888888891"/>
        <n v="0.33819444444444446"/>
        <n v="0.16527777777777777"/>
        <n v="0.22083333333333333"/>
        <n v="0.13541666666666666"/>
        <d v="1899-12-30T00:22:00"/>
        <n v="0.18263888888888891"/>
        <n v="0.24513888888888891"/>
        <n v="0.14861111111111111"/>
        <d v="1899-12-30T00:23:00"/>
        <d v="1899-12-30T00:15:00"/>
        <n v="0.15138888888888888"/>
        <n v="0.18958333333333333"/>
        <n v="0.20347222222222225"/>
        <n v="0.20625000000000002"/>
        <n v="0.17500000000000002"/>
        <n v="0.2673611111111111"/>
        <n v="0.37152777777777773"/>
        <n v="0.35694444444444445"/>
        <d v="1899-12-30T00:29:00"/>
        <n v="0.10972222222222222"/>
        <n v="0.30277777777777776"/>
        <n v="0.47569444444444442"/>
        <n v="4.9305555555555554E-2"/>
        <n v="0.20694444444444446"/>
        <n v="0.1277777777777778"/>
        <d v="1899-12-30T00:54:00"/>
        <n v="0.62708333333333333"/>
        <n v="0.36319444444444443"/>
        <n v="0.24097222222222223"/>
        <n v="0.3743055555555555"/>
        <n v="0.36041666666666666"/>
        <n v="0.36388888888888887"/>
        <n v="0.43472222222222223"/>
        <n v="0.18541666666666667"/>
        <d v="1899-12-30T00:32:00"/>
        <n v="0.27847222222222223"/>
        <n v="0.50277777777777777"/>
        <n v="0.21736111111111112"/>
        <n v="0.12916666666666668"/>
        <n v="0.53333333333333333"/>
        <n v="0.27361111111111108"/>
        <n v="0.10625"/>
        <n v="0.13680555555555554"/>
        <d v="1899-12-30T00:05:00"/>
        <n v="0.25416666666666665"/>
        <n v="0.16319444444444445"/>
        <n v="0.4152777777777778"/>
        <n v="7.9861111111111119E-2"/>
        <n v="0.41388888888888892"/>
        <n v="0.3833333333333333"/>
        <n v="0.3972222222222222"/>
        <n v="0.15763888888888888"/>
        <n v="0.45763888888888887"/>
        <n v="8.7500000000000008E-2"/>
        <n v="0.25763888888888892"/>
        <n v="0.12986111111111112"/>
        <n v="0.68333333333333324"/>
        <d v="1899-12-30T00:26:00"/>
        <n v="0.16250000000000001"/>
        <n v="0.56458333333333333"/>
        <n v="0.24374999999999999"/>
        <n v="0.38680555555555557"/>
        <n v="0.45208333333333334"/>
        <n v="0.66319444444444442"/>
        <n v="0.26666666666666666"/>
        <d v="1899-12-30T00:49:00"/>
        <n v="0.27430555555555552"/>
        <n v="0.14097222222222222"/>
        <n v="7.2916666666666671E-2"/>
        <n v="0.30763888888888891"/>
        <n v="9.1666666666666674E-2"/>
        <n v="8.4027777777777771E-2"/>
        <n v="0.28263888888888888"/>
        <n v="9.5138888888888884E-2"/>
        <n v="0.39861111111111108"/>
        <n v="0.48958333333333331"/>
        <n v="0.38055555555555554"/>
        <n v="0.10486111111111111"/>
        <n v="0.18124999999999999"/>
        <n v="0.18402777777777779"/>
        <n v="0.22777777777777777"/>
        <n v="0.28333333333333333"/>
        <n v="0.2076388888888889"/>
        <n v="0.53263888888888888"/>
        <n v="0.4458333333333333"/>
        <n v="0.49722222222222223"/>
        <n v="0.4604166666666667"/>
        <n v="0.1076388888888889"/>
        <n v="0.35486111111111113"/>
        <n v="0.16111111111111112"/>
        <n v="0.37361111111111112"/>
        <n v="0.32916666666666666"/>
        <n v="0.4201388888888889"/>
        <n v="0.14444444444444446"/>
        <n v="0.27708333333333335"/>
        <n v="0.42499999999999999"/>
        <n v="7.013888888888889E-2"/>
        <d v="1899-12-30T00:38:00"/>
        <n v="0.17708333333333334"/>
        <n v="0.30972222222222223"/>
        <n v="0.5180555555555556"/>
        <n v="0.3430555555555555"/>
        <n v="0.32847222222222222"/>
        <d v="1899-12-30T00:41:00"/>
        <n v="0.40347222222222223"/>
        <n v="0.1423611111111111"/>
        <d v="1899-12-30T00:43:00"/>
        <n v="0.20069444444444443"/>
        <n v="0.28819444444444448"/>
        <n v="0.55347222222222225"/>
        <n v="0.22291666666666665"/>
        <n v="0.3756944444444445"/>
        <n v="0.1673611111111111"/>
        <n v="0.32777777777777778"/>
        <n v="0.46736111111111112"/>
        <n v="0.32569444444444445"/>
        <n v="0.2388888888888889"/>
        <n v="0.43333333333333335"/>
        <n v="0.15555555555555556"/>
        <n v="0.18819444444444444"/>
        <n v="0.11597222222222221"/>
        <n v="0.11875000000000001"/>
        <n v="0.4368055555555555"/>
        <d v="1899-12-30T00:44:00"/>
        <n v="0.49583333333333335"/>
        <d v="1899-12-30T00:13:00"/>
        <n v="0.3527777777777778"/>
        <n v="0.28125"/>
        <n v="0.3659722222222222"/>
        <n v="0.36736111111111108"/>
        <n v="0.24166666666666667"/>
        <n v="0.1534722222222222"/>
        <n v="0.14652777777777778"/>
        <n v="0.24583333333333335"/>
        <n v="0.3979166666666667"/>
        <n v="0.19930555555555554"/>
        <n v="6.3888888888888898E-2"/>
        <n v="0.44791666666666669"/>
        <n v="0.28888888888888892"/>
        <n v="0.11319444444444444"/>
        <n v="0.37083333333333335"/>
        <n v="0.48680555555555555"/>
        <d v="1899-12-30T00:16:00"/>
        <n v="7.7777777777777779E-2"/>
        <n v="0.25972222222222224"/>
        <d v="1899-12-30T00:42:00"/>
        <n v="0.31527777777777777"/>
        <n v="0.31319444444444444"/>
        <n v="7.1527777777777773E-2"/>
        <n v="0.33055555555555555"/>
        <n v="0.28055555555555556"/>
        <n v="0.18611111111111112"/>
        <n v="0.10833333333333334"/>
        <n v="0.17152777777777775"/>
        <n v="0.42638888888888887"/>
        <n v="7.4999999999999997E-2"/>
        <n v="7.5694444444444439E-2"/>
        <n v="0.25208333333333333"/>
        <n v="0.37847222222222227"/>
        <n v="0.10902777777777778"/>
        <n v="0.30208333333333331"/>
        <n v="0.24027777777777778"/>
        <n v="7.8472222222222221E-2"/>
        <n v="0.35972222222222222"/>
        <n v="0.35625000000000001"/>
        <n v="0.3354166666666667"/>
        <n v="0.11944444444444445"/>
        <n v="0.38263888888888892"/>
        <n v="0.49027777777777781"/>
        <n v="0.10555555555555556"/>
        <n v="0.26319444444444445"/>
        <n v="0.27986111111111112"/>
        <n v="0.28611111111111109"/>
        <d v="1899-12-30T00:46:00"/>
        <d v="1899-12-30T00:45:00"/>
        <n v="0.35138888888888892"/>
        <n v="7.3611111111111113E-2"/>
        <n v="0.34861111111111115"/>
        <n v="0.23541666666666669"/>
        <n v="0.29791666666666666"/>
        <n v="0.39166666666666666"/>
        <n v="0.31458333333333333"/>
        <n v="0.43958333333333338"/>
        <n v="0.11527777777777777"/>
        <n v="0.60069444444444442"/>
        <n v="0.29236111111111113"/>
        <n v="0.50555555555555554"/>
        <n v="0.28958333333333336"/>
        <n v="0.21180555555555555"/>
        <n v="0.13402777777777777"/>
        <n v="0.34652777777777777"/>
        <n v="0.21805555555555556"/>
        <n v="0.19722222222222222"/>
        <n v="0.59097222222222223"/>
        <n v="0.22013888888888888"/>
        <n v="0.32013888888888892"/>
        <n v="0.26805555555555555"/>
        <n v="0.44930555555555557"/>
        <n v="0.45"/>
        <n v="0.3923611111111111"/>
        <n v="0.47013888888888888"/>
        <n v="0.46249999999999997"/>
        <n v="0.5493055555555556"/>
        <n v="0.37916666666666665"/>
        <n v="0.15069444444444444"/>
        <n v="0.4597222222222222"/>
        <n v="0.26597222222222222"/>
        <n v="0.45694444444444443"/>
        <n v="0.15416666666666667"/>
        <n v="0.16180555555555556"/>
        <n v="0.15833333333333333"/>
        <n v="0.38958333333333334"/>
        <n v="0.57430555555555551"/>
        <n v="0.21666666666666667"/>
        <n v="0.36180555555555555"/>
        <n v="0.58263888888888882"/>
        <n v="0.4284722222222222"/>
        <n v="0.3444444444444445"/>
        <d v="1899-12-30T00:57:00"/>
        <n v="0.23472222222222225"/>
        <n v="0.65416666666666667"/>
        <n v="0.32291666666666669"/>
        <n v="7.4305555555555555E-2"/>
        <n v="0.34375"/>
        <n v="0.22152777777777777"/>
        <n v="0.4055555555555555"/>
        <n v="0.40138888888888885"/>
        <n v="0.42708333333333331"/>
        <n v="0.40486111111111112"/>
        <n v="0.31666666666666665"/>
        <n v="0.23750000000000002"/>
        <n v="0.65486111111111112"/>
        <n v="0.34930555555555554"/>
        <n v="0.20486111111111113"/>
        <n v="0.32430555555555557"/>
        <n v="0.36458333333333331"/>
        <n v="0.59583333333333333"/>
        <n v="0.3520833333333333"/>
        <n v="0.27569444444444441"/>
        <n v="0.44513888888888892"/>
        <n v="0.47152777777777777"/>
        <n v="0.23402777777777775"/>
        <n v="0.46388888888888885"/>
        <n v="5.2083333333333336E-2"/>
        <n v="0.64444444444444449"/>
        <n v="8.5416666666666655E-2"/>
        <n v="0.40763888888888888"/>
        <n v="0.22430555555555556"/>
        <n v="0.19027777777777777"/>
        <n v="0.44236111111111115"/>
        <n v="0.47361111111111115"/>
        <n v="0.30694444444444441"/>
        <n v="0.3"/>
        <n v="0.2590277777777778"/>
        <n v="0.13055555555555556"/>
        <d v="1899-12-30T00:27:00"/>
        <n v="0.17291666666666669"/>
        <n v="9.5833333333333326E-2"/>
        <n v="0.12291666666666667"/>
        <n v="0.14166666666666666"/>
        <n v="0.48055555555555557"/>
        <n v="0.26111111111111113"/>
        <n v="0.20555555555555557"/>
        <n v="0.51527777777777783"/>
        <n v="0.56111111111111112"/>
        <n v="5.8333333333333327E-2"/>
        <n v="0.37986111111111115"/>
        <n v="0.45277777777777778"/>
        <n v="0.25069444444444444"/>
        <n v="0.10138888888888888"/>
        <n v="0.13333333333333333"/>
        <n v="0.17847222222222223"/>
        <n v="0.23124999999999998"/>
        <n v="0.46666666666666662"/>
        <n v="0.45069444444444445"/>
        <n v="5.6944444444444443E-2"/>
        <n v="0.19999999999999998"/>
        <n v="0.20416666666666669"/>
        <n v="0.21319444444444444"/>
        <n v="0.57291666666666663"/>
        <n v="0.30902777777777779"/>
        <d v="1899-12-30T00:17:00"/>
        <n v="0.25277777777777777"/>
        <n v="0.14375000000000002"/>
        <n v="0.57361111111111118"/>
        <n v="0.14722222222222223"/>
        <n v="0.21458333333333335"/>
        <d v="1899-12-30T00:55:00"/>
        <n v="0.25555555555555559"/>
        <n v="0.46111111111111108"/>
        <n v="0.35555555555555557"/>
        <n v="0.31736111111111109"/>
        <n v="0.2298611111111111"/>
        <n v="0.47500000000000003"/>
        <n v="0.2951388888888889"/>
        <n v="0.57013888888888886"/>
        <n v="0.29722222222222222"/>
        <n v="0.41041666666666665"/>
        <n v="0.35000000000000003"/>
      </sharedItems>
    </cacheField>
    <cacheField name="popularity" numFmtId="0">
      <sharedItems containsSemiMixedTypes="0" containsString="0" containsNumber="1" containsInteger="1" minValue="0" maxValue="93"/>
    </cacheField>
    <cacheField name="duration_ms" numFmtId="0">
      <sharedItems containsSemiMixedTypes="0" containsString="0" containsNumber="1" containsInteger="1" minValue="83253" maxValue="613026"/>
    </cacheField>
    <cacheField name="year" numFmtId="0">
      <sharedItems containsSemiMixedTypes="0" containsString="0" containsNumber="1" containsInteger="1" minValue="2006" maxValue="2024" count="12">
        <n v="2024"/>
        <n v="2023"/>
        <n v="2022"/>
        <n v="2021"/>
        <n v="2020"/>
        <n v="2019"/>
        <n v="2017"/>
        <n v="2014"/>
        <n v="2012"/>
        <n v="2010"/>
        <n v="2008"/>
        <n v="2006"/>
      </sharedItems>
    </cacheField>
    <cacheField name="duration_ms2" numFmtId="0">
      <sharedItems containsSemiMixedTypes="0" containsString="0" containsNumber="1" minValue="1.39" maxValue="10.220000000000001"/>
    </cacheField>
    <cacheField name="mood_category" numFmtId="0">
      <sharedItems count="3">
        <s v="Sad"/>
        <s v="Neutral"/>
        <s v="Happy"/>
      </sharedItems>
    </cacheField>
    <cacheField name="energy_category" numFmtId="0">
      <sharedItems count="2">
        <s v="Low Energy"/>
        <s v="Medium Energy"/>
      </sharedItems>
    </cacheField>
    <cacheField name="popularity_group" numFmtId="0">
      <sharedItems count="3">
        <s v="Popular"/>
        <s v="Mid"/>
        <s v="Less Popul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2">
  <r>
    <x v="0"/>
    <x v="0"/>
    <d v="2024-04-19T00:00:00"/>
    <n v="1"/>
    <n v="0.34861111111111115"/>
    <x v="0"/>
    <x v="0"/>
    <s v="1.53e-05"/>
    <n v="0.66736111111111107"/>
    <n v="-10976"/>
    <n v="0.21388888888888891"/>
    <x v="0"/>
    <x v="0"/>
    <n v="82"/>
    <n v="228965"/>
    <x v="0"/>
    <n v="3.82"/>
    <x v="0"/>
    <x v="0"/>
    <x v="0"/>
  </r>
  <r>
    <x v="1"/>
    <x v="0"/>
    <d v="2024-04-19T00:00:00"/>
    <n v="2"/>
    <n v="0.3354166666666667"/>
    <x v="1"/>
    <x v="1"/>
    <d v="1899-12-30T00:00:00"/>
    <n v="8.7500000000000008E-2"/>
    <n v="-8441"/>
    <n v="0.17708333333333334"/>
    <x v="1"/>
    <x v="1"/>
    <n v="79"/>
    <n v="293048"/>
    <x v="0"/>
    <n v="4.88"/>
    <x v="0"/>
    <x v="0"/>
    <x v="0"/>
  </r>
  <r>
    <x v="2"/>
    <x v="0"/>
    <d v="2024-04-19T00:00:00"/>
    <n v="3"/>
    <n v="9.5138888888888884E-2"/>
    <x v="2"/>
    <x v="2"/>
    <d v="1899-12-30T00:00:00"/>
    <n v="0.20972222222222223"/>
    <n v="-7362"/>
    <n v="0.18680555555555556"/>
    <x v="2"/>
    <x v="2"/>
    <n v="80"/>
    <n v="203801"/>
    <x v="0"/>
    <n v="3.4"/>
    <x v="0"/>
    <x v="0"/>
    <x v="0"/>
  </r>
  <r>
    <x v="3"/>
    <x v="0"/>
    <d v="2024-04-19T00:00:00"/>
    <n v="4"/>
    <d v="1899-12-30T00:56:00"/>
    <x v="3"/>
    <x v="3"/>
    <n v="9.9999999999999995E-7"/>
    <n v="0.65694444444444444"/>
    <n v="-10412"/>
    <n v="0.51944444444444449"/>
    <x v="3"/>
    <x v="3"/>
    <n v="82"/>
    <n v="261228"/>
    <x v="0"/>
    <n v="4.3499999999999996"/>
    <x v="0"/>
    <x v="0"/>
    <x v="0"/>
  </r>
  <r>
    <x v="4"/>
    <x v="0"/>
    <d v="2024-04-19T00:00:00"/>
    <n v="5"/>
    <n v="5.0694444444444438E-2"/>
    <x v="4"/>
    <x v="4"/>
    <s v="0.00264"/>
    <n v="0.56666666666666665"/>
    <n v="-11388"/>
    <n v="0.22361111111111109"/>
    <x v="4"/>
    <x v="4"/>
    <n v="80"/>
    <n v="262974"/>
    <x v="0"/>
    <n v="4.38"/>
    <x v="0"/>
    <x v="0"/>
    <x v="0"/>
  </r>
  <r>
    <x v="5"/>
    <x v="0"/>
    <d v="2024-04-19T00:00:00"/>
    <n v="6"/>
    <n v="0.26666666666666666"/>
    <x v="5"/>
    <x v="5"/>
    <d v="1899-12-30T00:00:00"/>
    <n v="9.375E-2"/>
    <n v="-7684"/>
    <n v="7.2222222222222229E-2"/>
    <x v="5"/>
    <x v="5"/>
    <n v="81"/>
    <n v="340428"/>
    <x v="0"/>
    <n v="5.67"/>
    <x v="0"/>
    <x v="0"/>
    <x v="0"/>
  </r>
  <r>
    <x v="6"/>
    <x v="0"/>
    <d v="2024-04-19T00:00:00"/>
    <n v="7"/>
    <n v="0.43333333333333335"/>
    <x v="6"/>
    <x v="6"/>
    <d v="1899-12-30T00:00:00"/>
    <n v="7.7083333333333337E-2"/>
    <n v="-9394"/>
    <n v="0.27708333333333335"/>
    <x v="6"/>
    <x v="6"/>
    <n v="78"/>
    <n v="210789"/>
    <x v="0"/>
    <n v="3.51"/>
    <x v="0"/>
    <x v="0"/>
    <x v="0"/>
  </r>
  <r>
    <x v="7"/>
    <x v="0"/>
    <d v="2024-04-19T00:00:00"/>
    <n v="8"/>
    <n v="0.12361111111111112"/>
    <x v="7"/>
    <x v="7"/>
    <d v="1899-12-30T00:00:00"/>
    <n v="0.21458333333333335"/>
    <n v="-7123"/>
    <n v="9.5833333333333326E-2"/>
    <x v="7"/>
    <x v="7"/>
    <n v="79"/>
    <n v="215463"/>
    <x v="0"/>
    <n v="3.59"/>
    <x v="0"/>
    <x v="0"/>
    <x v="0"/>
  </r>
  <r>
    <x v="8"/>
    <x v="0"/>
    <d v="2024-04-19T00:00:00"/>
    <n v="9"/>
    <n v="0.42152777777777778"/>
    <x v="8"/>
    <x v="1"/>
    <d v="1899-12-30T00:00:00"/>
    <n v="0.63958333333333328"/>
    <n v="-8374"/>
    <n v="0.18124999999999999"/>
    <x v="8"/>
    <x v="8"/>
    <n v="82"/>
    <n v="254365"/>
    <x v="0"/>
    <n v="4.24"/>
    <x v="0"/>
    <x v="0"/>
    <x v="0"/>
  </r>
  <r>
    <x v="9"/>
    <x v="0"/>
    <d v="2024-04-19T00:00:00"/>
    <n v="10"/>
    <n v="0.21875"/>
    <x v="9"/>
    <x v="8"/>
    <d v="1899-12-30T00:00:00"/>
    <n v="7.3611111111111113E-2"/>
    <n v="-10555"/>
    <s v="0.048"/>
    <x v="9"/>
    <x v="9"/>
    <n v="81"/>
    <n v="334084"/>
    <x v="0"/>
    <n v="5.57"/>
    <x v="0"/>
    <x v="0"/>
    <x v="0"/>
  </r>
  <r>
    <x v="10"/>
    <x v="0"/>
    <d v="2024-04-19T00:00:00"/>
    <n v="11"/>
    <n v="0.53333333333333333"/>
    <x v="10"/>
    <x v="9"/>
    <s v="1.72e-06"/>
    <n v="0.12222222222222222"/>
    <n v="-13961"/>
    <s v="0.045"/>
    <x v="10"/>
    <x v="10"/>
    <n v="77"/>
    <n v="156297"/>
    <x v="0"/>
    <n v="2.6"/>
    <x v="0"/>
    <x v="0"/>
    <x v="0"/>
  </r>
  <r>
    <x v="11"/>
    <x v="0"/>
    <d v="2024-04-19T00:00:00"/>
    <n v="12"/>
    <n v="0.59583333333333333"/>
    <x v="4"/>
    <x v="10"/>
    <d v="1899-12-30T00:00:00"/>
    <n v="7.4999999999999997E-2"/>
    <s v="-12.56"/>
    <n v="0.33958333333333335"/>
    <x v="11"/>
    <x v="11"/>
    <n v="80"/>
    <n v="277156"/>
    <x v="0"/>
    <n v="4.62"/>
    <x v="0"/>
    <x v="0"/>
    <x v="0"/>
  </r>
  <r>
    <x v="12"/>
    <x v="0"/>
    <d v="2024-04-19T00:00:00"/>
    <n v="13"/>
    <n v="8.5416666666666655E-2"/>
    <x v="11"/>
    <x v="11"/>
    <d v="1899-12-30T00:00:00"/>
    <d v="1899-12-30T00:15:00"/>
    <s v="-8.39"/>
    <n v="0.34861111111111115"/>
    <x v="12"/>
    <x v="12"/>
    <n v="82"/>
    <n v="218004"/>
    <x v="0"/>
    <n v="3.63"/>
    <x v="0"/>
    <x v="1"/>
    <x v="0"/>
  </r>
  <r>
    <x v="13"/>
    <x v="0"/>
    <d v="2024-04-19T00:00:00"/>
    <n v="14"/>
    <d v="1899-12-30T00:52:00"/>
    <x v="12"/>
    <x v="12"/>
    <d v="1899-12-30T00:00:00"/>
    <n v="0.23472222222222225"/>
    <n v="-9083"/>
    <n v="0.40347222222222223"/>
    <x v="13"/>
    <x v="13"/>
    <n v="81"/>
    <n v="245541"/>
    <x v="0"/>
    <n v="4.09"/>
    <x v="0"/>
    <x v="0"/>
    <x v="0"/>
  </r>
  <r>
    <x v="14"/>
    <x v="0"/>
    <d v="2024-04-19T00:00:00"/>
    <n v="15"/>
    <n v="0.29305555555555557"/>
    <x v="13"/>
    <x v="13"/>
    <d v="1899-12-30T00:00:00"/>
    <n v="7.1527777777777773E-2"/>
    <n v="-8802"/>
    <n v="0.18958333333333333"/>
    <x v="14"/>
    <x v="14"/>
    <n v="78"/>
    <n v="196900"/>
    <x v="0"/>
    <n v="3.28"/>
    <x v="0"/>
    <x v="0"/>
    <x v="0"/>
  </r>
  <r>
    <x v="15"/>
    <x v="0"/>
    <d v="2024-04-19T00:00:00"/>
    <n v="16"/>
    <n v="0.44166666666666665"/>
    <x v="14"/>
    <x v="14"/>
    <s v="0.00144"/>
    <n v="7.3611111111111113E-2"/>
    <n v="-11046"/>
    <n v="0.18263888888888891"/>
    <x v="15"/>
    <x v="15"/>
    <n v="76"/>
    <n v="216662"/>
    <x v="0"/>
    <n v="3.61"/>
    <x v="0"/>
    <x v="0"/>
    <x v="0"/>
  </r>
  <r>
    <x v="16"/>
    <x v="0"/>
    <d v="2024-04-19T00:00:00"/>
    <n v="17"/>
    <n v="0.4909722222222222"/>
    <x v="15"/>
    <x v="15"/>
    <d v="1899-12-30T00:00:00"/>
    <n v="7.0833333333333331E-2"/>
    <n v="-10855"/>
    <s v="0.038"/>
    <x v="16"/>
    <x v="16"/>
    <n v="79"/>
    <n v="238857"/>
    <x v="0"/>
    <n v="3.98"/>
    <x v="0"/>
    <x v="0"/>
    <x v="0"/>
  </r>
  <r>
    <x v="17"/>
    <x v="0"/>
    <d v="2024-04-19T00:00:00"/>
    <n v="18"/>
    <n v="0.42222222222222222"/>
    <x v="16"/>
    <x v="16"/>
    <d v="1899-12-30T00:00:00"/>
    <n v="0.17500000000000002"/>
    <n v="-9471"/>
    <n v="0.43958333333333338"/>
    <x v="17"/>
    <x v="17"/>
    <n v="81"/>
    <n v="222072"/>
    <x v="0"/>
    <n v="3.7"/>
    <x v="0"/>
    <x v="0"/>
    <x v="0"/>
  </r>
  <r>
    <x v="18"/>
    <x v="0"/>
    <d v="2024-04-19T00:00:00"/>
    <n v="19"/>
    <n v="0.4548611111111111"/>
    <x v="17"/>
    <x v="17"/>
    <d v="1899-12-30T00:00:00"/>
    <n v="0.64930555555555558"/>
    <n v="-8942"/>
    <n v="0.40486111111111112"/>
    <x v="18"/>
    <x v="1"/>
    <n v="77"/>
    <n v="183878"/>
    <x v="0"/>
    <n v="3.06"/>
    <x v="0"/>
    <x v="0"/>
    <x v="0"/>
  </r>
  <r>
    <x v="19"/>
    <x v="0"/>
    <d v="2024-04-19T00:00:00"/>
    <n v="20"/>
    <n v="5.4166666666666669E-2"/>
    <x v="18"/>
    <x v="18"/>
    <d v="1899-12-30T00:00:00"/>
    <n v="7.2916666666666671E-2"/>
    <n v="-8552"/>
    <n v="0.30972222222222223"/>
    <x v="19"/>
    <x v="18"/>
    <n v="77"/>
    <n v="213281"/>
    <x v="0"/>
    <n v="3.55"/>
    <x v="0"/>
    <x v="0"/>
    <x v="0"/>
  </r>
  <r>
    <x v="20"/>
    <x v="0"/>
    <d v="2024-04-19T00:00:00"/>
    <n v="21"/>
    <n v="0.54513888888888895"/>
    <x v="19"/>
    <x v="19"/>
    <s v="0.00093"/>
    <n v="7.4999999999999997E-2"/>
    <n v="-8859"/>
    <n v="0.17847222222222223"/>
    <x v="20"/>
    <x v="19"/>
    <n v="80"/>
    <n v="238706"/>
    <x v="0"/>
    <n v="3.98"/>
    <x v="0"/>
    <x v="0"/>
    <x v="0"/>
  </r>
  <r>
    <x v="21"/>
    <x v="0"/>
    <d v="2024-04-19T00:00:00"/>
    <n v="22"/>
    <n v="0.19027777777777777"/>
    <x v="20"/>
    <x v="20"/>
    <s v="3.07e-06"/>
    <n v="7.3611111111111113E-2"/>
    <n v="-4514"/>
    <n v="0.32361111111111113"/>
    <x v="21"/>
    <x v="20"/>
    <n v="82"/>
    <n v="228800"/>
    <x v="0"/>
    <n v="3.81"/>
    <x v="0"/>
    <x v="1"/>
    <x v="0"/>
  </r>
  <r>
    <x v="22"/>
    <x v="0"/>
    <d v="2024-04-19T00:00:00"/>
    <n v="23"/>
    <n v="0.49791666666666662"/>
    <x v="21"/>
    <x v="21"/>
    <d v="1899-12-30T00:00:00"/>
    <n v="0.24791666666666667"/>
    <n v="-7197"/>
    <n v="0.24027777777777778"/>
    <x v="22"/>
    <x v="21"/>
    <n v="78"/>
    <n v="243875"/>
    <x v="0"/>
    <n v="4.0599999999999996"/>
    <x v="0"/>
    <x v="0"/>
    <x v="0"/>
  </r>
  <r>
    <x v="23"/>
    <x v="0"/>
    <d v="2024-04-19T00:00:00"/>
    <n v="24"/>
    <n v="0.42291666666666666"/>
    <x v="22"/>
    <x v="22"/>
    <d v="1899-12-30T00:00:00"/>
    <n v="8.4722222222222213E-2"/>
    <n v="-8013"/>
    <n v="0.24027777777777778"/>
    <x v="23"/>
    <x v="22"/>
    <n v="76"/>
    <n v="263817"/>
    <x v="0"/>
    <n v="4.4000000000000004"/>
    <x v="0"/>
    <x v="0"/>
    <x v="0"/>
  </r>
  <r>
    <x v="24"/>
    <x v="0"/>
    <d v="2024-04-19T00:00:00"/>
    <n v="25"/>
    <n v="4.7916666666666663E-2"/>
    <x v="23"/>
    <x v="23"/>
    <d v="1899-12-30T00:00:00"/>
    <n v="0.11388888888888889"/>
    <n v="-11429"/>
    <n v="0.51250000000000007"/>
    <x v="24"/>
    <x v="23"/>
    <n v="76"/>
    <n v="131907"/>
    <x v="0"/>
    <n v="2.2000000000000002"/>
    <x v="0"/>
    <x v="0"/>
    <x v="0"/>
  </r>
  <r>
    <x v="25"/>
    <x v="0"/>
    <d v="2024-04-19T00:00:00"/>
    <n v="26"/>
    <n v="0.57291666666666663"/>
    <x v="24"/>
    <x v="24"/>
    <s v="2.67e-06"/>
    <n v="0.21388888888888891"/>
    <n v="-10359"/>
    <n v="0.32777777777777778"/>
    <x v="25"/>
    <x v="24"/>
    <n v="81"/>
    <n v="249807"/>
    <x v="0"/>
    <n v="4.16"/>
    <x v="0"/>
    <x v="0"/>
    <x v="0"/>
  </r>
  <r>
    <x v="26"/>
    <x v="0"/>
    <d v="2024-04-19T00:00:00"/>
    <n v="27"/>
    <n v="0.55972222222222223"/>
    <x v="25"/>
    <x v="25"/>
    <d v="1899-12-30T00:00:00"/>
    <n v="9.5138888888888884E-2"/>
    <n v="-9879"/>
    <n v="0.41319444444444442"/>
    <x v="26"/>
    <x v="25"/>
    <n v="76"/>
    <n v="240205"/>
    <x v="0"/>
    <n v="4"/>
    <x v="0"/>
    <x v="1"/>
    <x v="0"/>
  </r>
  <r>
    <x v="27"/>
    <x v="0"/>
    <d v="2024-04-19T00:00:00"/>
    <n v="28"/>
    <n v="0.55902777777777779"/>
    <x v="26"/>
    <x v="26"/>
    <d v="1899-12-30T00:00:00"/>
    <n v="0.41180555555555554"/>
    <n v="-8212"/>
    <n v="0.25833333333333336"/>
    <x v="27"/>
    <x v="26"/>
    <n v="77"/>
    <n v="283957"/>
    <x v="0"/>
    <n v="4.7300000000000004"/>
    <x v="0"/>
    <x v="0"/>
    <x v="0"/>
  </r>
  <r>
    <x v="28"/>
    <x v="0"/>
    <d v="2024-04-19T00:00:00"/>
    <n v="29"/>
    <n v="0.44305555555555554"/>
    <x v="27"/>
    <x v="27"/>
    <d v="1899-12-30T00:00:00"/>
    <n v="9.0972222222222218E-2"/>
    <n v="-7978"/>
    <n v="0.34166666666666662"/>
    <x v="28"/>
    <x v="2"/>
    <n v="77"/>
    <n v="238241"/>
    <x v="0"/>
    <n v="3.97"/>
    <x v="0"/>
    <x v="1"/>
    <x v="0"/>
  </r>
  <r>
    <x v="29"/>
    <x v="0"/>
    <d v="2024-04-19T00:00:00"/>
    <n v="30"/>
    <n v="0.5493055555555556"/>
    <x v="28"/>
    <x v="0"/>
    <s v="0.000423"/>
    <d v="1899-12-30T00:01:00"/>
    <n v="-10601"/>
    <d v="1899-12-30T00:03:00"/>
    <x v="29"/>
    <x v="27"/>
    <n v="73"/>
    <n v="240893"/>
    <x v="0"/>
    <n v="4.01"/>
    <x v="0"/>
    <x v="0"/>
    <x v="0"/>
  </r>
  <r>
    <x v="30"/>
    <x v="0"/>
    <d v="2024-04-19T00:00:00"/>
    <n v="31"/>
    <n v="0.62569444444444444"/>
    <x v="29"/>
    <x v="28"/>
    <s v="2.43e-06"/>
    <n v="7.1527777777777773E-2"/>
    <n v="-11665"/>
    <n v="0.21249999999999999"/>
    <x v="30"/>
    <x v="28"/>
    <n v="74"/>
    <n v="224743"/>
    <x v="0"/>
    <n v="3.75"/>
    <x v="0"/>
    <x v="0"/>
    <x v="0"/>
  </r>
  <r>
    <x v="0"/>
    <x v="1"/>
    <d v="2024-04-18T00:00:00"/>
    <n v="1"/>
    <n v="0.34861111111111115"/>
    <x v="0"/>
    <x v="0"/>
    <s v="1.53e-05"/>
    <n v="0.66736111111111107"/>
    <n v="-10976"/>
    <n v="0.21388888888888891"/>
    <x v="0"/>
    <x v="0"/>
    <n v="91"/>
    <n v="228965"/>
    <x v="0"/>
    <n v="3.82"/>
    <x v="0"/>
    <x v="0"/>
    <x v="0"/>
  </r>
  <r>
    <x v="1"/>
    <x v="1"/>
    <d v="2024-04-18T00:00:00"/>
    <n v="2"/>
    <n v="0.3354166666666667"/>
    <x v="1"/>
    <x v="1"/>
    <d v="1899-12-30T00:00:00"/>
    <n v="8.7500000000000008E-2"/>
    <n v="-8441"/>
    <n v="0.17708333333333334"/>
    <x v="1"/>
    <x v="1"/>
    <n v="75"/>
    <n v="293048"/>
    <x v="0"/>
    <n v="4.88"/>
    <x v="0"/>
    <x v="0"/>
    <x v="0"/>
  </r>
  <r>
    <x v="2"/>
    <x v="1"/>
    <d v="2024-04-18T00:00:00"/>
    <n v="3"/>
    <n v="9.5138888888888884E-2"/>
    <x v="2"/>
    <x v="2"/>
    <d v="1899-12-30T00:00:00"/>
    <n v="0.20972222222222223"/>
    <n v="-7362"/>
    <n v="0.18680555555555556"/>
    <x v="2"/>
    <x v="2"/>
    <n v="77"/>
    <n v="203801"/>
    <x v="0"/>
    <n v="3.4"/>
    <x v="0"/>
    <x v="0"/>
    <x v="0"/>
  </r>
  <r>
    <x v="3"/>
    <x v="1"/>
    <d v="2024-04-18T00:00:00"/>
    <n v="4"/>
    <d v="1899-12-30T00:56:00"/>
    <x v="3"/>
    <x v="3"/>
    <n v="9.9999999999999995E-7"/>
    <n v="0.65694444444444444"/>
    <n v="-10412"/>
    <n v="0.51944444444444449"/>
    <x v="3"/>
    <x v="3"/>
    <n v="82"/>
    <n v="261228"/>
    <x v="0"/>
    <n v="4.3499999999999996"/>
    <x v="0"/>
    <x v="0"/>
    <x v="0"/>
  </r>
  <r>
    <x v="4"/>
    <x v="1"/>
    <d v="2024-04-18T00:00:00"/>
    <n v="5"/>
    <n v="5.0694444444444438E-2"/>
    <x v="4"/>
    <x v="4"/>
    <s v="0.00264"/>
    <n v="0.56666666666666665"/>
    <n v="-11388"/>
    <n v="0.22361111111111109"/>
    <x v="4"/>
    <x v="4"/>
    <n v="78"/>
    <n v="262974"/>
    <x v="0"/>
    <n v="4.38"/>
    <x v="0"/>
    <x v="0"/>
    <x v="0"/>
  </r>
  <r>
    <x v="5"/>
    <x v="1"/>
    <d v="2024-04-18T00:00:00"/>
    <n v="6"/>
    <n v="0.26666666666666666"/>
    <x v="5"/>
    <x v="5"/>
    <d v="1899-12-30T00:00:00"/>
    <n v="9.375E-2"/>
    <n v="-7684"/>
    <n v="7.2222222222222229E-2"/>
    <x v="5"/>
    <x v="5"/>
    <n v="78"/>
    <n v="340428"/>
    <x v="0"/>
    <n v="5.67"/>
    <x v="0"/>
    <x v="0"/>
    <x v="0"/>
  </r>
  <r>
    <x v="6"/>
    <x v="1"/>
    <d v="2024-04-18T00:00:00"/>
    <n v="7"/>
    <n v="0.43333333333333335"/>
    <x v="6"/>
    <x v="6"/>
    <d v="1899-12-30T00:00:00"/>
    <n v="7.7083333333333337E-2"/>
    <n v="-9394"/>
    <n v="0.27708333333333335"/>
    <x v="6"/>
    <x v="6"/>
    <n v="69"/>
    <n v="210789"/>
    <x v="0"/>
    <n v="3.51"/>
    <x v="0"/>
    <x v="0"/>
    <x v="1"/>
  </r>
  <r>
    <x v="7"/>
    <x v="1"/>
    <d v="2024-04-18T00:00:00"/>
    <n v="8"/>
    <n v="0.12361111111111112"/>
    <x v="7"/>
    <x v="7"/>
    <d v="1899-12-30T00:00:00"/>
    <n v="0.21458333333333335"/>
    <n v="-7123"/>
    <n v="9.5833333333333326E-2"/>
    <x v="7"/>
    <x v="7"/>
    <n v="76"/>
    <n v="215463"/>
    <x v="0"/>
    <n v="3.59"/>
    <x v="0"/>
    <x v="0"/>
    <x v="0"/>
  </r>
  <r>
    <x v="8"/>
    <x v="1"/>
    <d v="2024-04-18T00:00:00"/>
    <n v="9"/>
    <n v="0.42152777777777778"/>
    <x v="8"/>
    <x v="1"/>
    <d v="1899-12-30T00:00:00"/>
    <n v="0.63958333333333328"/>
    <n v="-8374"/>
    <n v="0.18124999999999999"/>
    <x v="8"/>
    <x v="8"/>
    <n v="82"/>
    <n v="254365"/>
    <x v="0"/>
    <n v="4.24"/>
    <x v="0"/>
    <x v="0"/>
    <x v="0"/>
  </r>
  <r>
    <x v="9"/>
    <x v="1"/>
    <d v="2024-04-18T00:00:00"/>
    <n v="10"/>
    <n v="0.21875"/>
    <x v="9"/>
    <x v="8"/>
    <d v="1899-12-30T00:00:00"/>
    <n v="7.3611111111111113E-2"/>
    <n v="-10555"/>
    <s v="0.048"/>
    <x v="9"/>
    <x v="9"/>
    <n v="80"/>
    <n v="334084"/>
    <x v="0"/>
    <n v="5.57"/>
    <x v="0"/>
    <x v="0"/>
    <x v="0"/>
  </r>
  <r>
    <x v="10"/>
    <x v="1"/>
    <d v="2024-04-18T00:00:00"/>
    <n v="11"/>
    <n v="0.53333333333333333"/>
    <x v="10"/>
    <x v="9"/>
    <s v="1.72e-06"/>
    <n v="0.12222222222222222"/>
    <n v="-13961"/>
    <s v="0.045"/>
    <x v="10"/>
    <x v="10"/>
    <n v="67"/>
    <n v="156297"/>
    <x v="0"/>
    <n v="2.6"/>
    <x v="0"/>
    <x v="0"/>
    <x v="1"/>
  </r>
  <r>
    <x v="11"/>
    <x v="1"/>
    <d v="2024-04-18T00:00:00"/>
    <n v="12"/>
    <n v="0.59583333333333333"/>
    <x v="4"/>
    <x v="10"/>
    <d v="1899-12-30T00:00:00"/>
    <n v="7.4999999999999997E-2"/>
    <s v="-12.56"/>
    <n v="0.33958333333333335"/>
    <x v="11"/>
    <x v="11"/>
    <n v="75"/>
    <n v="277156"/>
    <x v="0"/>
    <n v="4.62"/>
    <x v="0"/>
    <x v="0"/>
    <x v="0"/>
  </r>
  <r>
    <x v="12"/>
    <x v="1"/>
    <d v="2024-04-18T00:00:00"/>
    <n v="13"/>
    <n v="8.5416666666666655E-2"/>
    <x v="11"/>
    <x v="11"/>
    <d v="1899-12-30T00:00:00"/>
    <d v="1899-12-30T00:15:00"/>
    <s v="-8.39"/>
    <n v="0.34861111111111115"/>
    <x v="12"/>
    <x v="12"/>
    <n v="88"/>
    <n v="218004"/>
    <x v="0"/>
    <n v="3.63"/>
    <x v="0"/>
    <x v="1"/>
    <x v="0"/>
  </r>
  <r>
    <x v="13"/>
    <x v="1"/>
    <d v="2024-04-18T00:00:00"/>
    <n v="14"/>
    <d v="1899-12-30T00:52:00"/>
    <x v="12"/>
    <x v="12"/>
    <d v="1899-12-30T00:00:00"/>
    <n v="0.23472222222222225"/>
    <n v="-9083"/>
    <n v="0.40347222222222223"/>
    <x v="13"/>
    <x v="13"/>
    <n v="74"/>
    <n v="245541"/>
    <x v="0"/>
    <n v="4.09"/>
    <x v="0"/>
    <x v="0"/>
    <x v="0"/>
  </r>
  <r>
    <x v="14"/>
    <x v="1"/>
    <d v="2024-04-18T00:00:00"/>
    <n v="15"/>
    <n v="0.29305555555555557"/>
    <x v="13"/>
    <x v="13"/>
    <d v="1899-12-30T00:00:00"/>
    <n v="7.1527777777777773E-2"/>
    <n v="-8802"/>
    <n v="0.18958333333333333"/>
    <x v="14"/>
    <x v="14"/>
    <n v="73"/>
    <n v="196900"/>
    <x v="0"/>
    <n v="3.28"/>
    <x v="0"/>
    <x v="0"/>
    <x v="0"/>
  </r>
  <r>
    <x v="15"/>
    <x v="1"/>
    <d v="2024-04-18T00:00:00"/>
    <n v="16"/>
    <n v="0.44166666666666665"/>
    <x v="14"/>
    <x v="14"/>
    <s v="0.00144"/>
    <n v="7.3611111111111113E-2"/>
    <n v="-11046"/>
    <n v="0.18263888888888891"/>
    <x v="15"/>
    <x v="15"/>
    <n v="67"/>
    <n v="216662"/>
    <x v="0"/>
    <n v="3.61"/>
    <x v="0"/>
    <x v="0"/>
    <x v="1"/>
  </r>
  <r>
    <x v="31"/>
    <x v="2"/>
    <d v="2023-10-27T00:00:00"/>
    <n v="1"/>
    <s v="0.00661"/>
    <x v="30"/>
    <x v="29"/>
    <s v="0.000133"/>
    <n v="0.22569444444444445"/>
    <n v="-4871"/>
    <n v="0.21944444444444444"/>
    <x v="31"/>
    <x v="29"/>
    <n v="62"/>
    <n v="212600"/>
    <x v="1"/>
    <n v="3.54"/>
    <x v="1"/>
    <x v="1"/>
    <x v="1"/>
  </r>
  <r>
    <x v="32"/>
    <x v="2"/>
    <d v="2023-10-27T00:00:00"/>
    <n v="2"/>
    <n v="0.62569444444444444"/>
    <x v="31"/>
    <x v="30"/>
    <d v="1899-12-30T00:00:00"/>
    <n v="0.2298611111111111"/>
    <n v="-5469"/>
    <n v="0.44791666666666669"/>
    <x v="32"/>
    <x v="30"/>
    <n v="64"/>
    <n v="231833"/>
    <x v="1"/>
    <n v="3.86"/>
    <x v="0"/>
    <x v="1"/>
    <x v="1"/>
  </r>
  <r>
    <x v="33"/>
    <x v="2"/>
    <d v="2023-10-27T00:00:00"/>
    <n v="3"/>
    <s v="0.000456"/>
    <x v="32"/>
    <x v="31"/>
    <n v="0.16111111111111112"/>
    <n v="0.65694444444444444"/>
    <n v="-4803"/>
    <n v="0.30833333333333335"/>
    <x v="33"/>
    <x v="31"/>
    <n v="65"/>
    <n v="231000"/>
    <x v="1"/>
    <n v="3.85"/>
    <x v="0"/>
    <x v="1"/>
    <x v="1"/>
  </r>
  <r>
    <x v="34"/>
    <x v="2"/>
    <d v="2023-10-27T00:00:00"/>
    <n v="4"/>
    <s v="0.000466"/>
    <x v="33"/>
    <x v="32"/>
    <s v="0.000134"/>
    <n v="0.26458333333333334"/>
    <n v="-5973"/>
    <n v="0.26597222222222222"/>
    <x v="34"/>
    <x v="32"/>
    <n v="63"/>
    <n v="235800"/>
    <x v="1"/>
    <n v="3.93"/>
    <x v="0"/>
    <x v="1"/>
    <x v="1"/>
  </r>
  <r>
    <x v="35"/>
    <x v="2"/>
    <d v="2023-10-27T00:00:00"/>
    <n v="5"/>
    <s v="0.000778"/>
    <x v="34"/>
    <x v="33"/>
    <d v="1899-12-30T00:00:00"/>
    <n v="0.13055555555555556"/>
    <n v="-5614"/>
    <n v="0.21388888888888891"/>
    <x v="35"/>
    <x v="33"/>
    <n v="62"/>
    <n v="193289"/>
    <x v="1"/>
    <n v="3.22"/>
    <x v="0"/>
    <x v="1"/>
    <x v="1"/>
  </r>
  <r>
    <x v="36"/>
    <x v="2"/>
    <d v="2023-10-27T00:00:00"/>
    <n v="6"/>
    <n v="7.7777777777777779E-2"/>
    <x v="35"/>
    <x v="34"/>
    <s v="2.51e-05"/>
    <n v="0.10833333333333334"/>
    <n v="-5707"/>
    <s v="0.069"/>
    <x v="36"/>
    <x v="34"/>
    <n v="62"/>
    <n v="219209"/>
    <x v="1"/>
    <n v="3.65"/>
    <x v="2"/>
    <x v="1"/>
    <x v="1"/>
  </r>
  <r>
    <x v="37"/>
    <x v="2"/>
    <d v="2023-10-27T00:00:00"/>
    <n v="7"/>
    <s v="0.00388"/>
    <x v="36"/>
    <x v="35"/>
    <s v="9.48e-06"/>
    <n v="0.56388888888888888"/>
    <n v="-6568"/>
    <n v="0.28958333333333336"/>
    <x v="37"/>
    <x v="35"/>
    <n v="61"/>
    <n v="207650"/>
    <x v="1"/>
    <n v="3.46"/>
    <x v="0"/>
    <x v="1"/>
    <x v="1"/>
  </r>
  <r>
    <x v="38"/>
    <x v="2"/>
    <d v="2023-10-27T00:00:00"/>
    <n v="8"/>
    <n v="0.25625000000000003"/>
    <x v="37"/>
    <x v="36"/>
    <s v="3.13e-06"/>
    <d v="1899-12-30T00:19:00"/>
    <n v="-6347"/>
    <n v="0.11041666666666666"/>
    <x v="38"/>
    <x v="36"/>
    <n v="61"/>
    <n v="211103"/>
    <x v="1"/>
    <n v="3.52"/>
    <x v="0"/>
    <x v="1"/>
    <x v="1"/>
  </r>
  <r>
    <x v="39"/>
    <x v="2"/>
    <d v="2023-10-27T00:00:00"/>
    <n v="9"/>
    <n v="0.24166666666666667"/>
    <x v="25"/>
    <x v="37"/>
    <s v="9.95e-05"/>
    <n v="0.6743055555555556"/>
    <n v="-7439"/>
    <n v="0.4152777777777778"/>
    <x v="39"/>
    <x v="37"/>
    <n v="63"/>
    <n v="220433"/>
    <x v="1"/>
    <n v="3.67"/>
    <x v="0"/>
    <x v="1"/>
    <x v="1"/>
  </r>
  <r>
    <x v="40"/>
    <x v="2"/>
    <d v="2023-10-27T00:00:00"/>
    <n v="10"/>
    <s v="0.00198"/>
    <x v="38"/>
    <x v="38"/>
    <s v="1.08e-05"/>
    <n v="0.60625000000000007"/>
    <n v="-5956"/>
    <n v="0.37291666666666662"/>
    <x v="40"/>
    <x v="38"/>
    <n v="61"/>
    <n v="247533"/>
    <x v="1"/>
    <n v="4.13"/>
    <x v="0"/>
    <x v="0"/>
    <x v="1"/>
  </r>
  <r>
    <x v="41"/>
    <x v="2"/>
    <d v="2023-10-27T00:00:00"/>
    <n v="11"/>
    <n v="0.20972222222222223"/>
    <x v="39"/>
    <x v="39"/>
    <d v="1899-12-30T00:00:00"/>
    <n v="0.46666666666666662"/>
    <n v="-8672"/>
    <n v="0.24236111111111111"/>
    <x v="41"/>
    <x v="39"/>
    <n v="60"/>
    <n v="250100"/>
    <x v="1"/>
    <n v="4.17"/>
    <x v="0"/>
    <x v="0"/>
    <x v="1"/>
  </r>
  <r>
    <x v="42"/>
    <x v="2"/>
    <d v="2023-10-27T00:00:00"/>
    <n v="12"/>
    <n v="0.58750000000000002"/>
    <x v="40"/>
    <x v="40"/>
    <d v="1899-12-30T00:00:00"/>
    <s v="0.071"/>
    <n v="-5348"/>
    <n v="0.39861111111111108"/>
    <x v="42"/>
    <x v="40"/>
    <n v="61"/>
    <n v="195700"/>
    <x v="1"/>
    <n v="3.26"/>
    <x v="1"/>
    <x v="1"/>
    <x v="1"/>
  </r>
  <r>
    <x v="43"/>
    <x v="2"/>
    <d v="2023-10-27T00:00:00"/>
    <n v="13"/>
    <n v="0.20625000000000002"/>
    <x v="41"/>
    <x v="19"/>
    <s v="2.98e-05"/>
    <n v="7.1527777777777773E-2"/>
    <n v="-8964"/>
    <n v="0.21041666666666667"/>
    <x v="43"/>
    <x v="41"/>
    <n v="62"/>
    <n v="271000"/>
    <x v="1"/>
    <n v="4.5199999999999996"/>
    <x v="0"/>
    <x v="0"/>
    <x v="1"/>
  </r>
  <r>
    <x v="44"/>
    <x v="2"/>
    <d v="2023-10-27T00:00:00"/>
    <n v="14"/>
    <n v="7.2916666666666671E-2"/>
    <x v="42"/>
    <x v="41"/>
    <s v="1.1e-05"/>
    <n v="8.8888888888888892E-2"/>
    <n v="-5956"/>
    <n v="0.37847222222222227"/>
    <x v="44"/>
    <x v="42"/>
    <n v="61"/>
    <n v="245566"/>
    <x v="1"/>
    <n v="4.09"/>
    <x v="0"/>
    <x v="1"/>
    <x v="1"/>
  </r>
  <r>
    <x v="45"/>
    <x v="2"/>
    <d v="2023-10-27T00:00:00"/>
    <n v="15"/>
    <n v="0.3972222222222222"/>
    <x v="43"/>
    <x v="42"/>
    <s v="2.08e-06"/>
    <n v="7.8472222222222221E-2"/>
    <n v="-9403"/>
    <n v="0.31597222222222221"/>
    <x v="45"/>
    <x v="43"/>
    <n v="62"/>
    <n v="267389"/>
    <x v="1"/>
    <n v="4.46"/>
    <x v="0"/>
    <x v="0"/>
    <x v="1"/>
  </r>
  <r>
    <x v="46"/>
    <x v="2"/>
    <d v="2023-10-27T00:00:00"/>
    <n v="16"/>
    <s v="0.00516"/>
    <x v="44"/>
    <x v="43"/>
    <s v="4.24e-06"/>
    <n v="0.5541666666666667"/>
    <n v="-5936"/>
    <n v="0.40486111111111112"/>
    <x v="46"/>
    <x v="44"/>
    <n v="63"/>
    <n v="230177"/>
    <x v="1"/>
    <n v="3.84"/>
    <x v="1"/>
    <x v="1"/>
    <x v="1"/>
  </r>
  <r>
    <x v="47"/>
    <x v="2"/>
    <d v="2023-10-27T00:00:00"/>
    <n v="17"/>
    <d v="1899-12-30T00:33:00"/>
    <x v="45"/>
    <x v="44"/>
    <s v="0.000112"/>
    <n v="0.44027777777777777"/>
    <n v="-13187"/>
    <n v="0.37708333333333338"/>
    <x v="47"/>
    <x v="45"/>
    <n v="64"/>
    <n v="180381"/>
    <x v="1"/>
    <n v="3.01"/>
    <x v="0"/>
    <x v="0"/>
    <x v="1"/>
  </r>
  <r>
    <x v="48"/>
    <x v="2"/>
    <d v="2023-10-27T00:00:00"/>
    <n v="18"/>
    <n v="0.47500000000000003"/>
    <x v="35"/>
    <x v="45"/>
    <s v="5.82e-06"/>
    <n v="9.1666666666666674E-2"/>
    <n v="-8375"/>
    <n v="0.23750000000000002"/>
    <x v="48"/>
    <x v="46"/>
    <n v="63"/>
    <n v="279833"/>
    <x v="1"/>
    <n v="4.66"/>
    <x v="0"/>
    <x v="0"/>
    <x v="1"/>
  </r>
  <r>
    <x v="49"/>
    <x v="2"/>
    <d v="2023-10-27T00:00:00"/>
    <n v="19"/>
    <d v="1899-12-30T00:16:00"/>
    <x v="46"/>
    <x v="42"/>
    <s v="3.05e-05"/>
    <n v="0.57916666666666672"/>
    <n v="-9386"/>
    <s v="0.034"/>
    <x v="49"/>
    <x v="47"/>
    <n v="65"/>
    <n v="146436"/>
    <x v="1"/>
    <n v="2.44"/>
    <x v="1"/>
    <x v="0"/>
    <x v="1"/>
  </r>
  <r>
    <x v="50"/>
    <x v="2"/>
    <d v="2023-10-27T00:00:00"/>
    <n v="20"/>
    <n v="0.14722222222222223"/>
    <x v="47"/>
    <x v="46"/>
    <d v="1899-12-30T00:00:00"/>
    <n v="7.0833333333333331E-2"/>
    <s v="-8.84"/>
    <n v="0.24791666666666667"/>
    <x v="50"/>
    <x v="48"/>
    <n v="61"/>
    <n v="171818"/>
    <x v="1"/>
    <n v="2.86"/>
    <x v="0"/>
    <x v="1"/>
    <x v="1"/>
  </r>
  <r>
    <x v="51"/>
    <x v="2"/>
    <d v="2023-10-27T00:00:00"/>
    <n v="21"/>
    <n v="0.33749999999999997"/>
    <x v="48"/>
    <x v="47"/>
    <d v="1899-12-30T00:00:00"/>
    <n v="8.7500000000000008E-2"/>
    <n v="-7343"/>
    <s v="0.035"/>
    <x v="51"/>
    <x v="49"/>
    <n v="66"/>
    <n v="229477"/>
    <x v="1"/>
    <n v="3.82"/>
    <x v="0"/>
    <x v="1"/>
    <x v="1"/>
  </r>
  <r>
    <x v="52"/>
    <x v="2"/>
    <d v="2023-10-27T00:00:00"/>
    <n v="22"/>
    <n v="9.930555555555555E-2"/>
    <x v="1"/>
    <x v="48"/>
    <d v="1899-12-30T00:00:00"/>
    <n v="0.16458333333333333"/>
    <n v="-6931"/>
    <n v="0.61736111111111114"/>
    <x v="52"/>
    <x v="50"/>
    <n v="74"/>
    <n v="199773"/>
    <x v="1"/>
    <n v="3.33"/>
    <x v="0"/>
    <x v="1"/>
    <x v="0"/>
  </r>
  <r>
    <x v="31"/>
    <x v="3"/>
    <d v="2023-10-26T00:00:00"/>
    <n v="1"/>
    <s v="0.00661"/>
    <x v="30"/>
    <x v="29"/>
    <s v="0.000133"/>
    <n v="0.22569444444444445"/>
    <n v="-4871"/>
    <n v="0.21944444444444444"/>
    <x v="31"/>
    <x v="29"/>
    <n v="71"/>
    <n v="212600"/>
    <x v="1"/>
    <n v="3.54"/>
    <x v="1"/>
    <x v="1"/>
    <x v="0"/>
  </r>
  <r>
    <x v="32"/>
    <x v="3"/>
    <d v="2023-10-26T00:00:00"/>
    <n v="2"/>
    <n v="0.62569444444444444"/>
    <x v="31"/>
    <x v="30"/>
    <d v="1899-12-30T00:00:00"/>
    <n v="0.2298611111111111"/>
    <n v="-5469"/>
    <n v="0.44791666666666669"/>
    <x v="32"/>
    <x v="30"/>
    <n v="80"/>
    <n v="231833"/>
    <x v="1"/>
    <n v="3.86"/>
    <x v="0"/>
    <x v="1"/>
    <x v="0"/>
  </r>
  <r>
    <x v="33"/>
    <x v="3"/>
    <d v="2023-10-26T00:00:00"/>
    <n v="3"/>
    <s v="0.000456"/>
    <x v="32"/>
    <x v="31"/>
    <n v="0.16111111111111112"/>
    <n v="0.65694444444444444"/>
    <n v="-4803"/>
    <n v="0.30833333333333335"/>
    <x v="33"/>
    <x v="31"/>
    <n v="79"/>
    <n v="231000"/>
    <x v="1"/>
    <n v="3.85"/>
    <x v="0"/>
    <x v="1"/>
    <x v="0"/>
  </r>
  <r>
    <x v="34"/>
    <x v="3"/>
    <d v="2023-10-26T00:00:00"/>
    <n v="4"/>
    <s v="0.000466"/>
    <x v="33"/>
    <x v="32"/>
    <s v="0.000134"/>
    <n v="0.26458333333333334"/>
    <n v="-5973"/>
    <n v="0.26597222222222222"/>
    <x v="34"/>
    <x v="32"/>
    <n v="73"/>
    <n v="235800"/>
    <x v="1"/>
    <n v="3.93"/>
    <x v="0"/>
    <x v="1"/>
    <x v="0"/>
  </r>
  <r>
    <x v="35"/>
    <x v="3"/>
    <d v="2023-10-26T00:00:00"/>
    <n v="5"/>
    <s v="0.000778"/>
    <x v="34"/>
    <x v="33"/>
    <d v="1899-12-30T00:00:00"/>
    <n v="0.13055555555555556"/>
    <n v="-5614"/>
    <n v="0.21388888888888891"/>
    <x v="35"/>
    <x v="33"/>
    <n v="69"/>
    <n v="193289"/>
    <x v="1"/>
    <n v="3.22"/>
    <x v="0"/>
    <x v="1"/>
    <x v="1"/>
  </r>
  <r>
    <x v="36"/>
    <x v="3"/>
    <d v="2023-10-26T00:00:00"/>
    <n v="6"/>
    <n v="7.7777777777777779E-2"/>
    <x v="35"/>
    <x v="34"/>
    <s v="2.51e-05"/>
    <n v="0.10833333333333334"/>
    <n v="-5707"/>
    <s v="0.069"/>
    <x v="36"/>
    <x v="34"/>
    <n v="75"/>
    <n v="219209"/>
    <x v="1"/>
    <n v="3.65"/>
    <x v="2"/>
    <x v="1"/>
    <x v="0"/>
  </r>
  <r>
    <x v="37"/>
    <x v="3"/>
    <d v="2023-10-26T00:00:00"/>
    <n v="7"/>
    <s v="0.00388"/>
    <x v="36"/>
    <x v="35"/>
    <s v="9.48e-06"/>
    <n v="0.56388888888888888"/>
    <n v="-6568"/>
    <n v="0.28958333333333336"/>
    <x v="37"/>
    <x v="35"/>
    <n v="68"/>
    <n v="207650"/>
    <x v="1"/>
    <n v="3.46"/>
    <x v="0"/>
    <x v="1"/>
    <x v="1"/>
  </r>
  <r>
    <x v="38"/>
    <x v="3"/>
    <d v="2023-10-26T00:00:00"/>
    <n v="8"/>
    <n v="0.25625000000000003"/>
    <x v="37"/>
    <x v="36"/>
    <s v="3.13e-06"/>
    <d v="1899-12-30T00:19:00"/>
    <n v="-6347"/>
    <n v="0.11041666666666666"/>
    <x v="38"/>
    <x v="36"/>
    <n v="71"/>
    <n v="211103"/>
    <x v="1"/>
    <n v="3.52"/>
    <x v="0"/>
    <x v="1"/>
    <x v="0"/>
  </r>
  <r>
    <x v="39"/>
    <x v="3"/>
    <d v="2023-10-26T00:00:00"/>
    <n v="9"/>
    <n v="0.24166666666666667"/>
    <x v="25"/>
    <x v="37"/>
    <s v="9.95e-05"/>
    <n v="0.6743055555555556"/>
    <n v="-7439"/>
    <n v="0.4152777777777778"/>
    <x v="39"/>
    <x v="37"/>
    <n v="77"/>
    <n v="220433"/>
    <x v="1"/>
    <n v="3.67"/>
    <x v="0"/>
    <x v="1"/>
    <x v="0"/>
  </r>
  <r>
    <x v="40"/>
    <x v="3"/>
    <d v="2023-10-26T00:00:00"/>
    <n v="10"/>
    <s v="0.00198"/>
    <x v="38"/>
    <x v="38"/>
    <s v="1.08e-05"/>
    <n v="0.60625000000000007"/>
    <n v="-5956"/>
    <n v="0.37291666666666662"/>
    <x v="40"/>
    <x v="38"/>
    <n v="67"/>
    <n v="247533"/>
    <x v="1"/>
    <n v="4.13"/>
    <x v="0"/>
    <x v="0"/>
    <x v="1"/>
  </r>
  <r>
    <x v="41"/>
    <x v="3"/>
    <d v="2023-10-26T00:00:00"/>
    <n v="11"/>
    <n v="0.20972222222222223"/>
    <x v="39"/>
    <x v="39"/>
    <d v="1899-12-30T00:00:00"/>
    <n v="0.46666666666666662"/>
    <n v="-8672"/>
    <n v="0.24236111111111111"/>
    <x v="41"/>
    <x v="39"/>
    <n v="67"/>
    <n v="250100"/>
    <x v="1"/>
    <n v="4.17"/>
    <x v="0"/>
    <x v="0"/>
    <x v="1"/>
  </r>
  <r>
    <x v="42"/>
    <x v="3"/>
    <d v="2023-10-26T00:00:00"/>
    <n v="12"/>
    <n v="0.58750000000000002"/>
    <x v="40"/>
    <x v="40"/>
    <d v="1899-12-30T00:00:00"/>
    <s v="0.071"/>
    <n v="-5348"/>
    <n v="0.39861111111111108"/>
    <x v="42"/>
    <x v="40"/>
    <n v="66"/>
    <n v="195700"/>
    <x v="1"/>
    <n v="3.26"/>
    <x v="1"/>
    <x v="1"/>
    <x v="1"/>
  </r>
  <r>
    <x v="43"/>
    <x v="3"/>
    <d v="2023-10-26T00:00:00"/>
    <n v="13"/>
    <n v="0.20625000000000002"/>
    <x v="41"/>
    <x v="19"/>
    <s v="2.98e-05"/>
    <n v="7.1527777777777773E-2"/>
    <n v="-8964"/>
    <n v="0.21041666666666667"/>
    <x v="43"/>
    <x v="41"/>
    <n v="70"/>
    <n v="271000"/>
    <x v="1"/>
    <n v="4.5199999999999996"/>
    <x v="0"/>
    <x v="0"/>
    <x v="1"/>
  </r>
  <r>
    <x v="44"/>
    <x v="3"/>
    <d v="2023-10-26T00:00:00"/>
    <n v="14"/>
    <n v="7.2916666666666671E-2"/>
    <x v="42"/>
    <x v="41"/>
    <s v="1.1e-05"/>
    <n v="8.8888888888888892E-2"/>
    <n v="-5956"/>
    <n v="0.37847222222222227"/>
    <x v="44"/>
    <x v="42"/>
    <n v="67"/>
    <n v="245566"/>
    <x v="1"/>
    <n v="4.09"/>
    <x v="0"/>
    <x v="1"/>
    <x v="1"/>
  </r>
  <r>
    <x v="45"/>
    <x v="3"/>
    <d v="2023-10-26T00:00:00"/>
    <n v="15"/>
    <n v="0.3972222222222222"/>
    <x v="43"/>
    <x v="42"/>
    <s v="2.08e-06"/>
    <n v="7.8472222222222221E-2"/>
    <n v="-9403"/>
    <n v="0.31597222222222221"/>
    <x v="45"/>
    <x v="43"/>
    <n v="69"/>
    <n v="267389"/>
    <x v="1"/>
    <n v="4.46"/>
    <x v="0"/>
    <x v="0"/>
    <x v="1"/>
  </r>
  <r>
    <x v="46"/>
    <x v="3"/>
    <d v="2023-10-26T00:00:00"/>
    <n v="16"/>
    <s v="0.00516"/>
    <x v="44"/>
    <x v="43"/>
    <s v="4.24e-06"/>
    <n v="0.5541666666666667"/>
    <n v="-5936"/>
    <n v="0.40486111111111112"/>
    <x v="46"/>
    <x v="44"/>
    <n v="74"/>
    <n v="230177"/>
    <x v="1"/>
    <n v="3.84"/>
    <x v="1"/>
    <x v="1"/>
    <x v="0"/>
  </r>
  <r>
    <x v="47"/>
    <x v="3"/>
    <d v="2023-10-26T00:00:00"/>
    <n v="17"/>
    <d v="1899-12-30T00:33:00"/>
    <x v="45"/>
    <x v="44"/>
    <s v="0.000112"/>
    <n v="0.44027777777777777"/>
    <n v="-13187"/>
    <n v="0.37708333333333338"/>
    <x v="47"/>
    <x v="45"/>
    <n v="77"/>
    <n v="180381"/>
    <x v="1"/>
    <n v="3.01"/>
    <x v="0"/>
    <x v="0"/>
    <x v="0"/>
  </r>
  <r>
    <x v="48"/>
    <x v="3"/>
    <d v="2023-10-26T00:00:00"/>
    <n v="18"/>
    <n v="0.47500000000000003"/>
    <x v="35"/>
    <x v="45"/>
    <s v="5.82e-06"/>
    <n v="9.1666666666666674E-2"/>
    <n v="-8375"/>
    <n v="0.23750000000000002"/>
    <x v="48"/>
    <x v="46"/>
    <n v="73"/>
    <n v="279833"/>
    <x v="1"/>
    <n v="4.66"/>
    <x v="0"/>
    <x v="0"/>
    <x v="0"/>
  </r>
  <r>
    <x v="49"/>
    <x v="3"/>
    <d v="2023-10-26T00:00:00"/>
    <n v="19"/>
    <d v="1899-12-30T00:16:00"/>
    <x v="46"/>
    <x v="42"/>
    <s v="3.05e-05"/>
    <n v="0.57916666666666672"/>
    <n v="-9386"/>
    <s v="0.034"/>
    <x v="49"/>
    <x v="47"/>
    <n v="77"/>
    <n v="146436"/>
    <x v="1"/>
    <n v="2.44"/>
    <x v="1"/>
    <x v="0"/>
    <x v="0"/>
  </r>
  <r>
    <x v="50"/>
    <x v="3"/>
    <d v="2023-10-26T00:00:00"/>
    <n v="20"/>
    <n v="0.14722222222222223"/>
    <x v="47"/>
    <x v="46"/>
    <d v="1899-12-30T00:00:00"/>
    <n v="7.0833333333333331E-2"/>
    <s v="-8.84"/>
    <n v="0.24791666666666667"/>
    <x v="50"/>
    <x v="48"/>
    <n v="68"/>
    <n v="171818"/>
    <x v="1"/>
    <n v="2.86"/>
    <x v="0"/>
    <x v="1"/>
    <x v="1"/>
  </r>
  <r>
    <x v="51"/>
    <x v="3"/>
    <d v="2023-10-26T00:00:00"/>
    <n v="21"/>
    <n v="0.33749999999999997"/>
    <x v="48"/>
    <x v="47"/>
    <d v="1899-12-30T00:00:00"/>
    <n v="8.7500000000000008E-2"/>
    <n v="-7343"/>
    <s v="0.035"/>
    <x v="51"/>
    <x v="49"/>
    <n v="78"/>
    <n v="229477"/>
    <x v="1"/>
    <n v="3.82"/>
    <x v="0"/>
    <x v="1"/>
    <x v="0"/>
  </r>
  <r>
    <x v="53"/>
    <x v="4"/>
    <d v="2023-07-07T00:00:00"/>
    <n v="1"/>
    <s v="0.00314"/>
    <x v="49"/>
    <x v="49"/>
    <s v="1.93e-06"/>
    <n v="0.12083333333333333"/>
    <n v="-2903"/>
    <n v="0.25208333333333333"/>
    <x v="53"/>
    <x v="51"/>
    <n v="74"/>
    <n v="231706"/>
    <x v="1"/>
    <n v="3.86"/>
    <x v="0"/>
    <x v="1"/>
    <x v="0"/>
  </r>
  <r>
    <x v="54"/>
    <x v="4"/>
    <d v="2023-07-07T00:00:00"/>
    <n v="2"/>
    <n v="0.1673611111111111"/>
    <x v="50"/>
    <x v="50"/>
    <d v="1899-12-30T00:00:00"/>
    <n v="0.65"/>
    <n v="-2413"/>
    <s v="0.032"/>
    <x v="54"/>
    <x v="52"/>
    <n v="72"/>
    <n v="261230"/>
    <x v="1"/>
    <n v="4.3499999999999996"/>
    <x v="0"/>
    <x v="1"/>
    <x v="0"/>
  </r>
  <r>
    <x v="55"/>
    <x v="4"/>
    <d v="2023-07-07T00:00:00"/>
    <n v="3"/>
    <s v="0.00705"/>
    <x v="51"/>
    <x v="51"/>
    <d v="1899-12-30T00:00:00"/>
    <n v="8.2638888888888887E-2"/>
    <n v="-3994"/>
    <n v="0.19305555555555556"/>
    <x v="55"/>
    <x v="53"/>
    <n v="74"/>
    <n v="294189"/>
    <x v="1"/>
    <n v="4.9000000000000004"/>
    <x v="0"/>
    <x v="1"/>
    <x v="0"/>
  </r>
  <r>
    <x v="56"/>
    <x v="4"/>
    <d v="2023-07-07T00:00:00"/>
    <n v="4"/>
    <n v="0.15625"/>
    <x v="52"/>
    <x v="52"/>
    <d v="1899-12-30T00:00:00"/>
    <n v="9.4444444444444442E-2"/>
    <n v="-2926"/>
    <n v="0.24236111111111111"/>
    <x v="56"/>
    <x v="54"/>
    <n v="69"/>
    <n v="242473"/>
    <x v="1"/>
    <n v="4.04"/>
    <x v="1"/>
    <x v="1"/>
    <x v="1"/>
  </r>
  <r>
    <x v="57"/>
    <x v="4"/>
    <d v="2023-07-07T00:00:00"/>
    <n v="5"/>
    <n v="0.22708333333333333"/>
    <x v="53"/>
    <x v="53"/>
    <d v="1899-12-30T00:00:00"/>
    <n v="0.10972222222222222"/>
    <s v="-5.07"/>
    <n v="0.20694444444444446"/>
    <x v="57"/>
    <x v="55"/>
    <n v="69"/>
    <n v="405906"/>
    <x v="1"/>
    <n v="6.77"/>
    <x v="0"/>
    <x v="0"/>
    <x v="1"/>
  </r>
  <r>
    <x v="58"/>
    <x v="4"/>
    <d v="2023-07-07T00:00:00"/>
    <n v="6"/>
    <n v="0.22291666666666665"/>
    <x v="54"/>
    <x v="54"/>
    <d v="1899-12-30T00:00:00"/>
    <n v="0.14791666666666667"/>
    <s v="-3.95"/>
    <n v="0.2722222222222222"/>
    <x v="58"/>
    <x v="56"/>
    <n v="69"/>
    <n v="238693"/>
    <x v="1"/>
    <n v="3.98"/>
    <x v="1"/>
    <x v="0"/>
    <x v="1"/>
  </r>
  <r>
    <x v="59"/>
    <x v="4"/>
    <d v="2023-07-07T00:00:00"/>
    <n v="7"/>
    <s v="0.00136"/>
    <x v="18"/>
    <x v="55"/>
    <d v="1899-12-30T00:00:00"/>
    <n v="0.34652777777777777"/>
    <n v="-2636"/>
    <n v="0.39097222222222222"/>
    <x v="59"/>
    <x v="57"/>
    <n v="70"/>
    <n v="267653"/>
    <x v="1"/>
    <n v="4.46"/>
    <x v="0"/>
    <x v="1"/>
    <x v="1"/>
  </r>
  <r>
    <x v="60"/>
    <x v="4"/>
    <d v="2023-07-07T00:00:00"/>
    <n v="8"/>
    <n v="0.6020833333333333"/>
    <x v="55"/>
    <x v="56"/>
    <d v="1899-12-30T00:00:00"/>
    <n v="0.13472222222222222"/>
    <n v="-7259"/>
    <s v="0.029"/>
    <x v="60"/>
    <x v="58"/>
    <n v="65"/>
    <n v="292920"/>
    <x v="1"/>
    <n v="4.88"/>
    <x v="0"/>
    <x v="0"/>
    <x v="1"/>
  </r>
  <r>
    <x v="61"/>
    <x v="4"/>
    <d v="2023-07-07T00:00:00"/>
    <n v="9"/>
    <s v="0.016"/>
    <x v="56"/>
    <x v="57"/>
    <d v="1899-12-30T00:00:00"/>
    <n v="0.11458333333333333"/>
    <n v="-3546"/>
    <n v="0.18680555555555556"/>
    <x v="61"/>
    <x v="59"/>
    <n v="80"/>
    <n v="353253"/>
    <x v="1"/>
    <n v="5.89"/>
    <x v="0"/>
    <x v="0"/>
    <x v="0"/>
  </r>
  <r>
    <x v="62"/>
    <x v="4"/>
    <d v="2023-07-07T00:00:00"/>
    <n v="10"/>
    <s v="0.000795"/>
    <x v="57"/>
    <x v="58"/>
    <d v="1899-12-30T00:00:00"/>
    <n v="0.12361111111111112"/>
    <n v="-3013"/>
    <n v="0.53541666666666665"/>
    <x v="62"/>
    <x v="60"/>
    <n v="71"/>
    <n v="220306"/>
    <x v="1"/>
    <n v="3.67"/>
    <x v="1"/>
    <x v="1"/>
    <x v="0"/>
  </r>
  <r>
    <x v="63"/>
    <x v="4"/>
    <d v="2023-07-07T00:00:00"/>
    <n v="11"/>
    <n v="0.67499999999999993"/>
    <x v="58"/>
    <x v="59"/>
    <d v="1899-12-30T00:00:00"/>
    <n v="8.819444444444445E-2"/>
    <n v="-5298"/>
    <n v="0.20625000000000002"/>
    <x v="63"/>
    <x v="61"/>
    <n v="63"/>
    <n v="301221"/>
    <x v="1"/>
    <n v="5.0199999999999996"/>
    <x v="0"/>
    <x v="1"/>
    <x v="1"/>
  </r>
  <r>
    <x v="64"/>
    <x v="4"/>
    <d v="2023-07-07T00:00:00"/>
    <n v="12"/>
    <s v="0.00552"/>
    <x v="59"/>
    <x v="60"/>
    <d v="1899-12-30T00:00:00"/>
    <n v="0.17500000000000002"/>
    <n v="-1927"/>
    <n v="0.4368055555555555"/>
    <x v="64"/>
    <x v="62"/>
    <n v="69"/>
    <n v="245413"/>
    <x v="1"/>
    <n v="4.09"/>
    <x v="0"/>
    <x v="1"/>
    <x v="1"/>
  </r>
  <r>
    <x v="65"/>
    <x v="4"/>
    <d v="2023-07-07T00:00:00"/>
    <n v="13"/>
    <n v="0.30763888888888891"/>
    <x v="60"/>
    <x v="61"/>
    <s v="3.57e-06"/>
    <d v="1899-12-30T00:01:00"/>
    <n v="-8641"/>
    <n v="0.18263888888888891"/>
    <x v="65"/>
    <x v="63"/>
    <n v="69"/>
    <n v="369120"/>
    <x v="1"/>
    <n v="6.15"/>
    <x v="0"/>
    <x v="0"/>
    <x v="1"/>
  </r>
  <r>
    <x v="66"/>
    <x v="4"/>
    <d v="2023-07-07T00:00:00"/>
    <n v="14"/>
    <n v="0.1125"/>
    <x v="61"/>
    <x v="62"/>
    <d v="1899-12-30T00:00:00"/>
    <n v="0.15763888888888888"/>
    <n v="-4054"/>
    <s v="0.038"/>
    <x v="66"/>
    <x v="64"/>
    <n v="73"/>
    <n v="317960"/>
    <x v="1"/>
    <n v="5.3"/>
    <x v="2"/>
    <x v="1"/>
    <x v="0"/>
  </r>
  <r>
    <x v="67"/>
    <x v="4"/>
    <d v="2023-07-07T00:00:00"/>
    <n v="15"/>
    <d v="1899-12-30T00:42:00"/>
    <x v="62"/>
    <x v="63"/>
    <d v="1899-12-30T00:00:00"/>
    <n v="7.5694444444444439E-2"/>
    <n v="-8411"/>
    <n v="0.19930555555555554"/>
    <x v="67"/>
    <x v="20"/>
    <n v="66"/>
    <n v="235803"/>
    <x v="1"/>
    <n v="3.93"/>
    <x v="0"/>
    <x v="0"/>
    <x v="1"/>
  </r>
  <r>
    <x v="68"/>
    <x v="4"/>
    <d v="2023-07-07T00:00:00"/>
    <n v="16"/>
    <s v="0.00207"/>
    <x v="63"/>
    <x v="64"/>
    <d v="1899-12-30T00:00:00"/>
    <d v="1899-12-30T00:11:00"/>
    <n v="-3506"/>
    <n v="0.20972222222222223"/>
    <x v="68"/>
    <x v="36"/>
    <n v="62"/>
    <n v="274945"/>
    <x v="1"/>
    <n v="4.58"/>
    <x v="0"/>
    <x v="1"/>
    <x v="1"/>
  </r>
  <r>
    <x v="69"/>
    <x v="4"/>
    <d v="2023-07-07T00:00:00"/>
    <n v="17"/>
    <s v="0.018"/>
    <x v="64"/>
    <x v="65"/>
    <d v="1899-12-30T00:00:00"/>
    <n v="0.10833333333333334"/>
    <n v="-4753"/>
    <n v="0.36527777777777781"/>
    <x v="69"/>
    <x v="65"/>
    <n v="68"/>
    <n v="266466"/>
    <x v="1"/>
    <n v="4.4400000000000004"/>
    <x v="0"/>
    <x v="1"/>
    <x v="1"/>
  </r>
  <r>
    <x v="70"/>
    <x v="4"/>
    <d v="2023-07-07T00:00:00"/>
    <n v="18"/>
    <n v="0.11666666666666665"/>
    <x v="58"/>
    <x v="66"/>
    <d v="1899-12-30T00:00:00"/>
    <n v="7.2222222222222229E-2"/>
    <n v="-4714"/>
    <n v="0.32708333333333334"/>
    <x v="70"/>
    <x v="66"/>
    <n v="66"/>
    <n v="252385"/>
    <x v="1"/>
    <n v="4.21"/>
    <x v="0"/>
    <x v="1"/>
    <x v="1"/>
  </r>
  <r>
    <x v="71"/>
    <x v="4"/>
    <d v="2023-07-07T00:00:00"/>
    <n v="19"/>
    <n v="0.40069444444444446"/>
    <x v="47"/>
    <x v="67"/>
    <d v="1899-12-30T00:00:00"/>
    <n v="0.29583333333333334"/>
    <n v="-4883"/>
    <n v="0.2388888888888889"/>
    <x v="71"/>
    <x v="67"/>
    <n v="75"/>
    <n v="273186"/>
    <x v="1"/>
    <n v="4.55"/>
    <x v="1"/>
    <x v="1"/>
    <x v="0"/>
  </r>
  <r>
    <x v="72"/>
    <x v="4"/>
    <d v="2023-07-07T00:00:00"/>
    <n v="20"/>
    <n v="0.23750000000000002"/>
    <x v="65"/>
    <x v="68"/>
    <d v="1899-12-30T00:00:00"/>
    <n v="0.4597222222222222"/>
    <n v="-8064"/>
    <n v="0.30624999999999997"/>
    <x v="72"/>
    <x v="68"/>
    <n v="67"/>
    <n v="306062"/>
    <x v="1"/>
    <n v="5.0999999999999996"/>
    <x v="0"/>
    <x v="0"/>
    <x v="1"/>
  </r>
  <r>
    <x v="73"/>
    <x v="4"/>
    <d v="2023-07-07T00:00:00"/>
    <n v="21"/>
    <n v="0.41597222222222219"/>
    <x v="66"/>
    <x v="69"/>
    <d v="1899-12-30T00:00:00"/>
    <n v="7.7777777777777779E-2"/>
    <n v="-4709"/>
    <n v="0.20694444444444446"/>
    <x v="73"/>
    <x v="69"/>
    <n v="68"/>
    <n v="311765"/>
    <x v="1"/>
    <n v="5.2"/>
    <x v="0"/>
    <x v="1"/>
    <x v="1"/>
  </r>
  <r>
    <x v="74"/>
    <x v="4"/>
    <d v="2023-07-07T00:00:00"/>
    <n v="22"/>
    <n v="0.23055555555555554"/>
    <x v="67"/>
    <x v="70"/>
    <d v="1899-12-30T00:00:00"/>
    <n v="0.60277777777777775"/>
    <n v="-5806"/>
    <n v="0.22152777777777777"/>
    <x v="74"/>
    <x v="70"/>
    <n v="69"/>
    <n v="321396"/>
    <x v="1"/>
    <n v="5.36"/>
    <x v="1"/>
    <x v="1"/>
    <x v="1"/>
  </r>
  <r>
    <x v="75"/>
    <x v="5"/>
    <d v="2023-05-26T00:00:00"/>
    <n v="1"/>
    <d v="1899-12-30T00:23:00"/>
    <x v="68"/>
    <x v="71"/>
    <s v="0.00126"/>
    <n v="9.1666666666666674E-2"/>
    <s v="-10.56"/>
    <n v="0.61319444444444449"/>
    <x v="75"/>
    <x v="71"/>
    <n v="63"/>
    <n v="202395"/>
    <x v="1"/>
    <n v="3.37"/>
    <x v="2"/>
    <x v="0"/>
    <x v="1"/>
  </r>
  <r>
    <x v="76"/>
    <x v="5"/>
    <d v="2023-05-26T00:00:00"/>
    <n v="2"/>
    <n v="0.44027777777777777"/>
    <x v="69"/>
    <x v="72"/>
    <s v="1.45e-06"/>
    <n v="0.67569444444444438"/>
    <s v="-8.29"/>
    <n v="0.24236111111111111"/>
    <x v="76"/>
    <x v="72"/>
    <n v="64"/>
    <n v="218270"/>
    <x v="1"/>
    <n v="3.64"/>
    <x v="0"/>
    <x v="0"/>
    <x v="1"/>
  </r>
  <r>
    <x v="77"/>
    <x v="5"/>
    <d v="2023-05-26T00:00:00"/>
    <n v="3"/>
    <n v="8.4027777777777771E-2"/>
    <x v="70"/>
    <x v="73"/>
    <s v="2.62e-06"/>
    <n v="0.11180555555555555"/>
    <n v="-6645"/>
    <s v="0.062"/>
    <x v="77"/>
    <x v="73"/>
    <n v="63"/>
    <n v="200690"/>
    <x v="1"/>
    <n v="3.34"/>
    <x v="0"/>
    <x v="1"/>
    <x v="1"/>
  </r>
  <r>
    <x v="78"/>
    <x v="5"/>
    <d v="2023-05-26T00:00:00"/>
    <n v="4"/>
    <n v="0.48680555555555555"/>
    <x v="71"/>
    <x v="74"/>
    <s v="0.000598"/>
    <n v="7.4305555555555555E-2"/>
    <n v="-13527"/>
    <n v="0.28402777777777777"/>
    <x v="78"/>
    <x v="49"/>
    <n v="60"/>
    <n v="256124"/>
    <x v="1"/>
    <n v="4.2699999999999996"/>
    <x v="0"/>
    <x v="0"/>
    <x v="1"/>
  </r>
  <r>
    <x v="79"/>
    <x v="5"/>
    <d v="2023-05-26T00:00:00"/>
    <n v="5"/>
    <n v="0.31041666666666667"/>
    <x v="72"/>
    <x v="75"/>
    <s v="1.55e-05"/>
    <n v="8.6805555555555566E-2"/>
    <n v="-10331"/>
    <n v="0.42777777777777781"/>
    <x v="79"/>
    <x v="74"/>
    <n v="64"/>
    <n v="194206"/>
    <x v="1"/>
    <n v="3.24"/>
    <x v="0"/>
    <x v="0"/>
    <x v="1"/>
  </r>
  <r>
    <x v="80"/>
    <x v="5"/>
    <d v="2023-05-26T00:00:00"/>
    <n v="6"/>
    <n v="4.9305555555555554E-2"/>
    <x v="1"/>
    <x v="76"/>
    <s v="5.87e-05"/>
    <n v="8.0555555555555561E-2"/>
    <n v="-11637"/>
    <n v="0.43958333333333338"/>
    <x v="80"/>
    <x v="75"/>
    <n v="63"/>
    <n v="174782"/>
    <x v="1"/>
    <n v="2.91"/>
    <x v="0"/>
    <x v="0"/>
    <x v="1"/>
  </r>
  <r>
    <x v="81"/>
    <x v="5"/>
    <d v="2023-05-26T00:00:00"/>
    <n v="7"/>
    <n v="0.14305555555555555"/>
    <x v="73"/>
    <x v="77"/>
    <d v="1899-12-30T00:00:00"/>
    <n v="0.17291666666666669"/>
    <n v="-8767"/>
    <n v="0.16805555555555554"/>
    <x v="81"/>
    <x v="76"/>
    <n v="61"/>
    <n v="210556"/>
    <x v="1"/>
    <n v="3.51"/>
    <x v="0"/>
    <x v="0"/>
    <x v="1"/>
  </r>
  <r>
    <x v="82"/>
    <x v="5"/>
    <d v="2023-05-26T00:00:00"/>
    <n v="8"/>
    <n v="0.11527777777777777"/>
    <x v="74"/>
    <x v="78"/>
    <s v="2.18e-05"/>
    <n v="8.5416666666666655E-2"/>
    <n v="-10764"/>
    <n v="0.26874999999999999"/>
    <x v="82"/>
    <x v="3"/>
    <n v="62"/>
    <n v="164801"/>
    <x v="1"/>
    <n v="2.75"/>
    <x v="0"/>
    <x v="0"/>
    <x v="1"/>
  </r>
  <r>
    <x v="83"/>
    <x v="5"/>
    <d v="2023-05-26T00:00:00"/>
    <n v="9"/>
    <n v="0.41180555555555554"/>
    <x v="75"/>
    <x v="79"/>
    <s v="0.000143"/>
    <d v="1899-12-30T00:09:00"/>
    <n v="-9202"/>
    <n v="0.54652777777777783"/>
    <x v="83"/>
    <x v="77"/>
    <n v="63"/>
    <n v="194165"/>
    <x v="1"/>
    <n v="3.24"/>
    <x v="0"/>
    <x v="0"/>
    <x v="1"/>
  </r>
  <r>
    <x v="84"/>
    <x v="5"/>
    <d v="2023-05-26T00:00:00"/>
    <n v="10"/>
    <n v="0.55347222222222225"/>
    <x v="76"/>
    <x v="80"/>
    <n v="0.23124999999999998"/>
    <d v="1899-12-30T00:12:00"/>
    <n v="-15512"/>
    <n v="0.26666666666666666"/>
    <x v="84"/>
    <x v="78"/>
    <n v="61"/>
    <n v="247962"/>
    <x v="1"/>
    <n v="4.13"/>
    <x v="0"/>
    <x v="0"/>
    <x v="1"/>
  </r>
  <r>
    <x v="85"/>
    <x v="5"/>
    <d v="2023-05-26T00:00:00"/>
    <n v="11"/>
    <s v="0.062"/>
    <x v="13"/>
    <x v="81"/>
    <d v="1899-12-30T00:00:00"/>
    <n v="0.3298611111111111"/>
    <n v="-7108"/>
    <s v="0.065"/>
    <x v="85"/>
    <x v="79"/>
    <n v="62"/>
    <n v="204852"/>
    <x v="1"/>
    <n v="3.41"/>
    <x v="0"/>
    <x v="1"/>
    <x v="1"/>
  </r>
  <r>
    <x v="86"/>
    <x v="5"/>
    <d v="2023-05-26T00:00:00"/>
    <n v="12"/>
    <n v="0.67222222222222217"/>
    <x v="77"/>
    <x v="82"/>
    <s v="0.00011"/>
    <n v="7.9861111111111119E-2"/>
    <n v="-14973"/>
    <n v="0.31666666666666665"/>
    <x v="86"/>
    <x v="80"/>
    <n v="60"/>
    <n v="188496"/>
    <x v="1"/>
    <n v="3.14"/>
    <x v="0"/>
    <x v="0"/>
    <x v="1"/>
  </r>
  <r>
    <x v="87"/>
    <x v="5"/>
    <d v="2023-05-26T00:00:00"/>
    <n v="13"/>
    <n v="0.3923611111111111"/>
    <x v="78"/>
    <x v="83"/>
    <s v="0.00134"/>
    <n v="0.64027777777777783"/>
    <n v="-14132"/>
    <d v="1899-12-30T00:14:00"/>
    <x v="87"/>
    <x v="81"/>
    <n v="61"/>
    <n v="191039"/>
    <x v="1"/>
    <n v="3.18"/>
    <x v="0"/>
    <x v="0"/>
    <x v="1"/>
  </r>
  <r>
    <x v="88"/>
    <x v="5"/>
    <d v="2023-05-26T00:00:00"/>
    <n v="14"/>
    <n v="0.13819444444444445"/>
    <x v="79"/>
    <x v="84"/>
    <s v="2.32e-05"/>
    <n v="0.59305555555555556"/>
    <s v="-8.93"/>
    <n v="0.23750000000000002"/>
    <x v="88"/>
    <x v="82"/>
    <n v="62"/>
    <n v="240355"/>
    <x v="1"/>
    <n v="4.01"/>
    <x v="0"/>
    <x v="1"/>
    <x v="1"/>
  </r>
  <r>
    <x v="89"/>
    <x v="5"/>
    <d v="2023-05-26T00:00:00"/>
    <n v="15"/>
    <n v="0.58402777777777781"/>
    <x v="80"/>
    <x v="85"/>
    <s v="0.00131"/>
    <n v="7.9166666666666663E-2"/>
    <n v="-12584"/>
    <n v="0.32777777777777778"/>
    <x v="89"/>
    <x v="83"/>
    <n v="60"/>
    <n v="218502"/>
    <x v="1"/>
    <n v="3.64"/>
    <x v="1"/>
    <x v="0"/>
    <x v="1"/>
  </r>
  <r>
    <x v="90"/>
    <x v="5"/>
    <d v="2023-05-26T00:00:00"/>
    <n v="16"/>
    <n v="7.1527777777777773E-2"/>
    <x v="81"/>
    <x v="86"/>
    <s v="2.89e-05"/>
    <n v="0.10277777777777779"/>
    <n v="-10501"/>
    <s v="0.085"/>
    <x v="90"/>
    <x v="36"/>
    <n v="60"/>
    <n v="196258"/>
    <x v="1"/>
    <n v="3.27"/>
    <x v="0"/>
    <x v="0"/>
    <x v="1"/>
  </r>
  <r>
    <x v="91"/>
    <x v="5"/>
    <d v="2023-05-26T00:00:00"/>
    <n v="17"/>
    <n v="0.48888888888888887"/>
    <x v="82"/>
    <x v="87"/>
    <d v="1899-12-30T00:00:00"/>
    <n v="0.60902777777777783"/>
    <n v="-10141"/>
    <n v="7.013888888888889E-2"/>
    <x v="91"/>
    <x v="47"/>
    <n v="59"/>
    <n v="231475"/>
    <x v="1"/>
    <n v="3.86"/>
    <x v="1"/>
    <x v="0"/>
    <x v="1"/>
  </r>
  <r>
    <x v="92"/>
    <x v="5"/>
    <d v="2023-05-26T00:00:00"/>
    <n v="18"/>
    <n v="0.21805555555555556"/>
    <x v="83"/>
    <x v="88"/>
    <d v="1899-12-30T00:00:00"/>
    <d v="1899-12-30T00:11:00"/>
    <s v="-9.65"/>
    <n v="0.17986111111111111"/>
    <x v="92"/>
    <x v="36"/>
    <n v="58"/>
    <n v="148781"/>
    <x v="1"/>
    <n v="2.48"/>
    <x v="0"/>
    <x v="0"/>
    <x v="1"/>
  </r>
  <r>
    <x v="93"/>
    <x v="5"/>
    <d v="2023-05-26T00:00:00"/>
    <n v="19"/>
    <n v="0.27291666666666664"/>
    <x v="21"/>
    <x v="89"/>
    <s v="0.00115"/>
    <n v="8.6111111111111124E-2"/>
    <n v="-6557"/>
    <n v="8.1250000000000003E-2"/>
    <x v="93"/>
    <x v="84"/>
    <n v="62"/>
    <n v="260361"/>
    <x v="1"/>
    <n v="4.34"/>
    <x v="0"/>
    <x v="1"/>
    <x v="1"/>
  </r>
  <r>
    <x v="94"/>
    <x v="5"/>
    <d v="2023-05-26T00:00:00"/>
    <n v="20"/>
    <n v="0.32222222222222224"/>
    <x v="84"/>
    <x v="75"/>
    <s v="0.00122"/>
    <n v="8.0555555555555561E-2"/>
    <n v="-11944"/>
    <n v="0.3354166666666667"/>
    <x v="94"/>
    <x v="85"/>
    <n v="59"/>
    <n v="225194"/>
    <x v="1"/>
    <n v="3.75"/>
    <x v="0"/>
    <x v="0"/>
    <x v="1"/>
  </r>
  <r>
    <x v="95"/>
    <x v="5"/>
    <d v="2023-05-26T00:00:00"/>
    <n v="21"/>
    <n v="9.3055555555555558E-2"/>
    <x v="85"/>
    <x v="90"/>
    <s v="3.34e-06"/>
    <n v="0.18402777777777779"/>
    <n v="-6556"/>
    <n v="0.30486111111111108"/>
    <x v="95"/>
    <x v="86"/>
    <n v="72"/>
    <n v="234466"/>
    <x v="1"/>
    <n v="3.91"/>
    <x v="0"/>
    <x v="1"/>
    <x v="0"/>
  </r>
  <r>
    <x v="96"/>
    <x v="5"/>
    <d v="2023-05-26T00:00:00"/>
    <n v="22"/>
    <n v="0.55347222222222225"/>
    <x v="86"/>
    <x v="91"/>
    <s v="3.13e-06"/>
    <n v="7.2916666666666671E-2"/>
    <n v="-10997"/>
    <n v="0.24236111111111111"/>
    <x v="96"/>
    <x v="87"/>
    <n v="73"/>
    <n v="229942"/>
    <x v="1"/>
    <n v="3.83"/>
    <x v="0"/>
    <x v="0"/>
    <x v="0"/>
  </r>
  <r>
    <x v="97"/>
    <x v="5"/>
    <d v="2023-05-26T00:00:00"/>
    <n v="23"/>
    <n v="0.39861111111111108"/>
    <x v="87"/>
    <x v="92"/>
    <d v="1899-12-30T00:00:00"/>
    <n v="0.41388888888888892"/>
    <n v="-6548"/>
    <n v="0.54027777777777775"/>
    <x v="97"/>
    <x v="83"/>
    <n v="64"/>
    <n v="201493"/>
    <x v="1"/>
    <n v="3.36"/>
    <x v="1"/>
    <x v="1"/>
    <x v="1"/>
  </r>
  <r>
    <x v="75"/>
    <x v="6"/>
    <d v="2022-10-22T00:00:00"/>
    <n v="1"/>
    <d v="1899-12-30T00:23:00"/>
    <x v="68"/>
    <x v="71"/>
    <s v="0.00126"/>
    <n v="9.1666666666666674E-2"/>
    <s v="-10.56"/>
    <n v="0.61319444444444449"/>
    <x v="75"/>
    <x v="71"/>
    <n v="61"/>
    <n v="202395"/>
    <x v="2"/>
    <n v="3.37"/>
    <x v="2"/>
    <x v="0"/>
    <x v="1"/>
  </r>
  <r>
    <x v="76"/>
    <x v="6"/>
    <d v="2022-10-22T00:00:00"/>
    <n v="2"/>
    <n v="0.44027777777777777"/>
    <x v="69"/>
    <x v="72"/>
    <s v="1.45e-06"/>
    <n v="0.67569444444444438"/>
    <s v="-8.29"/>
    <n v="0.24236111111111111"/>
    <x v="76"/>
    <x v="72"/>
    <n v="61"/>
    <n v="218270"/>
    <x v="2"/>
    <n v="3.64"/>
    <x v="0"/>
    <x v="0"/>
    <x v="1"/>
  </r>
  <r>
    <x v="77"/>
    <x v="6"/>
    <d v="2022-10-22T00:00:00"/>
    <n v="3"/>
    <n v="8.4027777777777771E-2"/>
    <x v="70"/>
    <x v="73"/>
    <s v="2.62e-06"/>
    <n v="0.11180555555555555"/>
    <n v="-6645"/>
    <s v="0.062"/>
    <x v="77"/>
    <x v="73"/>
    <n v="62"/>
    <n v="200690"/>
    <x v="2"/>
    <n v="3.34"/>
    <x v="0"/>
    <x v="1"/>
    <x v="1"/>
  </r>
  <r>
    <x v="78"/>
    <x v="6"/>
    <d v="2022-10-22T00:00:00"/>
    <n v="4"/>
    <n v="0.48680555555555555"/>
    <x v="71"/>
    <x v="74"/>
    <s v="0.000598"/>
    <n v="7.4305555555555555E-2"/>
    <n v="-13527"/>
    <n v="0.28402777777777777"/>
    <x v="78"/>
    <x v="49"/>
    <n v="62"/>
    <n v="256124"/>
    <x v="2"/>
    <n v="4.2699999999999996"/>
    <x v="0"/>
    <x v="0"/>
    <x v="1"/>
  </r>
  <r>
    <x v="79"/>
    <x v="6"/>
    <d v="2022-10-22T00:00:00"/>
    <n v="5"/>
    <n v="0.31041666666666667"/>
    <x v="72"/>
    <x v="75"/>
    <s v="1.55e-05"/>
    <n v="8.6805555555555566E-2"/>
    <n v="-10331"/>
    <n v="0.42777777777777781"/>
    <x v="79"/>
    <x v="74"/>
    <n v="62"/>
    <n v="194206"/>
    <x v="2"/>
    <n v="3.24"/>
    <x v="0"/>
    <x v="0"/>
    <x v="1"/>
  </r>
  <r>
    <x v="80"/>
    <x v="6"/>
    <d v="2022-10-22T00:00:00"/>
    <n v="6"/>
    <n v="4.9305555555555554E-2"/>
    <x v="1"/>
    <x v="76"/>
    <s v="5.87e-05"/>
    <n v="8.0555555555555561E-2"/>
    <n v="-11637"/>
    <n v="0.43958333333333338"/>
    <x v="80"/>
    <x v="75"/>
    <n v="61"/>
    <n v="174782"/>
    <x v="2"/>
    <n v="2.91"/>
    <x v="0"/>
    <x v="0"/>
    <x v="1"/>
  </r>
  <r>
    <x v="81"/>
    <x v="6"/>
    <d v="2022-10-22T00:00:00"/>
    <n v="7"/>
    <n v="0.14305555555555555"/>
    <x v="73"/>
    <x v="77"/>
    <d v="1899-12-30T00:00:00"/>
    <n v="0.17291666666666669"/>
    <n v="-8767"/>
    <n v="0.16805555555555554"/>
    <x v="81"/>
    <x v="76"/>
    <n v="58"/>
    <n v="210556"/>
    <x v="2"/>
    <n v="3.51"/>
    <x v="0"/>
    <x v="0"/>
    <x v="1"/>
  </r>
  <r>
    <x v="82"/>
    <x v="6"/>
    <d v="2022-10-22T00:00:00"/>
    <n v="8"/>
    <n v="0.11527777777777777"/>
    <x v="74"/>
    <x v="78"/>
    <s v="2.18e-05"/>
    <n v="8.5416666666666655E-2"/>
    <n v="-10764"/>
    <n v="0.26874999999999999"/>
    <x v="82"/>
    <x v="3"/>
    <n v="61"/>
    <n v="164801"/>
    <x v="2"/>
    <n v="2.75"/>
    <x v="0"/>
    <x v="0"/>
    <x v="1"/>
  </r>
  <r>
    <x v="83"/>
    <x v="6"/>
    <d v="2022-10-22T00:00:00"/>
    <n v="9"/>
    <n v="0.41180555555555554"/>
    <x v="75"/>
    <x v="79"/>
    <s v="0.000143"/>
    <d v="1899-12-30T00:09:00"/>
    <n v="-9202"/>
    <n v="0.54652777777777783"/>
    <x v="83"/>
    <x v="77"/>
    <n v="62"/>
    <n v="194165"/>
    <x v="2"/>
    <n v="3.24"/>
    <x v="0"/>
    <x v="0"/>
    <x v="1"/>
  </r>
  <r>
    <x v="84"/>
    <x v="6"/>
    <d v="2022-10-22T00:00:00"/>
    <n v="10"/>
    <n v="0.55347222222222225"/>
    <x v="76"/>
    <x v="80"/>
    <n v="0.23124999999999998"/>
    <d v="1899-12-30T00:12:00"/>
    <n v="-15512"/>
    <n v="0.26666666666666666"/>
    <x v="84"/>
    <x v="78"/>
    <n v="58"/>
    <n v="247962"/>
    <x v="2"/>
    <n v="4.13"/>
    <x v="0"/>
    <x v="0"/>
    <x v="1"/>
  </r>
  <r>
    <x v="85"/>
    <x v="6"/>
    <d v="2022-10-22T00:00:00"/>
    <n v="11"/>
    <s v="0.062"/>
    <x v="13"/>
    <x v="81"/>
    <d v="1899-12-30T00:00:00"/>
    <n v="0.3298611111111111"/>
    <n v="-7108"/>
    <s v="0.065"/>
    <x v="85"/>
    <x v="79"/>
    <n v="65"/>
    <n v="204852"/>
    <x v="2"/>
    <n v="3.41"/>
    <x v="0"/>
    <x v="1"/>
    <x v="1"/>
  </r>
  <r>
    <x v="86"/>
    <x v="6"/>
    <d v="2022-10-22T00:00:00"/>
    <n v="12"/>
    <n v="0.67222222222222217"/>
    <x v="77"/>
    <x v="82"/>
    <s v="0.00011"/>
    <n v="7.9861111111111119E-2"/>
    <n v="-14973"/>
    <n v="0.31666666666666665"/>
    <x v="86"/>
    <x v="80"/>
    <n v="60"/>
    <n v="188496"/>
    <x v="2"/>
    <n v="3.14"/>
    <x v="0"/>
    <x v="0"/>
    <x v="1"/>
  </r>
  <r>
    <x v="87"/>
    <x v="6"/>
    <d v="2022-10-22T00:00:00"/>
    <n v="13"/>
    <n v="0.3923611111111111"/>
    <x v="78"/>
    <x v="83"/>
    <s v="0.00134"/>
    <n v="0.64027777777777783"/>
    <n v="-14132"/>
    <d v="1899-12-30T00:14:00"/>
    <x v="87"/>
    <x v="81"/>
    <n v="64"/>
    <n v="191039"/>
    <x v="2"/>
    <n v="3.18"/>
    <x v="0"/>
    <x v="0"/>
    <x v="1"/>
  </r>
  <r>
    <x v="88"/>
    <x v="6"/>
    <d v="2022-10-22T00:00:00"/>
    <n v="14"/>
    <n v="0.13819444444444445"/>
    <x v="79"/>
    <x v="84"/>
    <s v="2.32e-05"/>
    <n v="0.59305555555555556"/>
    <s v="-8.93"/>
    <n v="0.23750000000000002"/>
    <x v="88"/>
    <x v="82"/>
    <n v="69"/>
    <n v="240355"/>
    <x v="2"/>
    <n v="4.01"/>
    <x v="0"/>
    <x v="1"/>
    <x v="1"/>
  </r>
  <r>
    <x v="89"/>
    <x v="6"/>
    <d v="2022-10-22T00:00:00"/>
    <n v="15"/>
    <n v="0.58402777777777781"/>
    <x v="80"/>
    <x v="85"/>
    <s v="0.00131"/>
    <n v="7.9166666666666663E-2"/>
    <n v="-12584"/>
    <n v="0.32777777777777778"/>
    <x v="89"/>
    <x v="83"/>
    <n v="66"/>
    <n v="218502"/>
    <x v="2"/>
    <n v="3.64"/>
    <x v="1"/>
    <x v="0"/>
    <x v="1"/>
  </r>
  <r>
    <x v="90"/>
    <x v="6"/>
    <d v="2022-10-22T00:00:00"/>
    <n v="16"/>
    <n v="7.1527777777777773E-2"/>
    <x v="81"/>
    <x v="86"/>
    <s v="2.89e-05"/>
    <n v="0.10277777777777779"/>
    <n v="-10501"/>
    <s v="0.085"/>
    <x v="90"/>
    <x v="36"/>
    <n v="66"/>
    <n v="196258"/>
    <x v="2"/>
    <n v="3.27"/>
    <x v="0"/>
    <x v="0"/>
    <x v="1"/>
  </r>
  <r>
    <x v="91"/>
    <x v="6"/>
    <d v="2022-10-22T00:00:00"/>
    <n v="17"/>
    <n v="0.48888888888888887"/>
    <x v="82"/>
    <x v="87"/>
    <d v="1899-12-30T00:00:00"/>
    <n v="0.60902777777777783"/>
    <n v="-10141"/>
    <n v="7.013888888888889E-2"/>
    <x v="91"/>
    <x v="47"/>
    <n v="64"/>
    <n v="231475"/>
    <x v="2"/>
    <n v="3.86"/>
    <x v="1"/>
    <x v="0"/>
    <x v="1"/>
  </r>
  <r>
    <x v="92"/>
    <x v="6"/>
    <d v="2022-10-22T00:00:00"/>
    <n v="18"/>
    <n v="0.21805555555555556"/>
    <x v="83"/>
    <x v="88"/>
    <d v="1899-12-30T00:00:00"/>
    <d v="1899-12-30T00:11:00"/>
    <s v="-9.65"/>
    <n v="0.17986111111111111"/>
    <x v="92"/>
    <x v="36"/>
    <n v="63"/>
    <n v="148781"/>
    <x v="2"/>
    <n v="2.48"/>
    <x v="0"/>
    <x v="0"/>
    <x v="1"/>
  </r>
  <r>
    <x v="93"/>
    <x v="6"/>
    <d v="2022-10-22T00:00:00"/>
    <n v="19"/>
    <n v="0.27291666666666664"/>
    <x v="21"/>
    <x v="89"/>
    <s v="0.00115"/>
    <n v="8.6111111111111124E-2"/>
    <n v="-6557"/>
    <n v="8.1250000000000003E-2"/>
    <x v="93"/>
    <x v="84"/>
    <n v="68"/>
    <n v="260361"/>
    <x v="2"/>
    <n v="4.34"/>
    <x v="0"/>
    <x v="1"/>
    <x v="1"/>
  </r>
  <r>
    <x v="94"/>
    <x v="6"/>
    <d v="2022-10-22T00:00:00"/>
    <n v="20"/>
    <n v="0.32222222222222224"/>
    <x v="84"/>
    <x v="75"/>
    <s v="0.00122"/>
    <n v="8.0555555555555561E-2"/>
    <n v="-11944"/>
    <n v="0.3354166666666667"/>
    <x v="94"/>
    <x v="85"/>
    <n v="64"/>
    <n v="225194"/>
    <x v="2"/>
    <n v="3.75"/>
    <x v="0"/>
    <x v="0"/>
    <x v="1"/>
  </r>
  <r>
    <x v="75"/>
    <x v="7"/>
    <d v="2022-10-21T00:00:00"/>
    <n v="1"/>
    <d v="1899-12-30T00:23:00"/>
    <x v="68"/>
    <x v="71"/>
    <s v="0.00126"/>
    <n v="9.1666666666666674E-2"/>
    <s v="-10.56"/>
    <n v="0.61319444444444449"/>
    <x v="75"/>
    <x v="71"/>
    <n v="77"/>
    <n v="202395"/>
    <x v="2"/>
    <n v="3.37"/>
    <x v="2"/>
    <x v="0"/>
    <x v="0"/>
  </r>
  <r>
    <x v="76"/>
    <x v="7"/>
    <d v="2022-10-21T00:00:00"/>
    <n v="2"/>
    <n v="0.44027777777777777"/>
    <x v="69"/>
    <x v="72"/>
    <s v="1.45e-06"/>
    <n v="0.67569444444444438"/>
    <s v="-8.29"/>
    <n v="0.24236111111111111"/>
    <x v="76"/>
    <x v="72"/>
    <n v="72"/>
    <n v="218270"/>
    <x v="2"/>
    <n v="3.64"/>
    <x v="0"/>
    <x v="0"/>
    <x v="0"/>
  </r>
  <r>
    <x v="77"/>
    <x v="7"/>
    <d v="2022-10-21T00:00:00"/>
    <n v="3"/>
    <n v="8.4027777777777771E-2"/>
    <x v="70"/>
    <x v="73"/>
    <s v="2.62e-06"/>
    <n v="0.11180555555555555"/>
    <n v="-6645"/>
    <s v="0.062"/>
    <x v="77"/>
    <x v="73"/>
    <n v="85"/>
    <n v="200690"/>
    <x v="2"/>
    <n v="3.34"/>
    <x v="0"/>
    <x v="1"/>
    <x v="0"/>
  </r>
  <r>
    <x v="78"/>
    <x v="7"/>
    <d v="2022-10-21T00:00:00"/>
    <n v="4"/>
    <n v="0.48680555555555555"/>
    <x v="71"/>
    <x v="74"/>
    <s v="0.000598"/>
    <n v="7.4305555555555555E-2"/>
    <n v="-13527"/>
    <n v="0.28402777777777777"/>
    <x v="78"/>
    <x v="49"/>
    <n v="69"/>
    <n v="256124"/>
    <x v="2"/>
    <n v="4.2699999999999996"/>
    <x v="0"/>
    <x v="0"/>
    <x v="1"/>
  </r>
  <r>
    <x v="79"/>
    <x v="7"/>
    <d v="2022-10-21T00:00:00"/>
    <n v="5"/>
    <n v="0.31041666666666667"/>
    <x v="72"/>
    <x v="75"/>
    <s v="1.55e-05"/>
    <n v="8.6805555555555566E-2"/>
    <n v="-10331"/>
    <n v="0.42777777777777781"/>
    <x v="79"/>
    <x v="74"/>
    <n v="77"/>
    <n v="194206"/>
    <x v="2"/>
    <n v="3.24"/>
    <x v="0"/>
    <x v="0"/>
    <x v="0"/>
  </r>
  <r>
    <x v="80"/>
    <x v="7"/>
    <d v="2022-10-21T00:00:00"/>
    <n v="6"/>
    <n v="4.9305555555555554E-2"/>
    <x v="1"/>
    <x v="76"/>
    <s v="5.87e-05"/>
    <n v="8.0555555555555561E-2"/>
    <n v="-11637"/>
    <n v="0.43958333333333338"/>
    <x v="80"/>
    <x v="75"/>
    <n v="76"/>
    <n v="174782"/>
    <x v="2"/>
    <n v="2.91"/>
    <x v="0"/>
    <x v="0"/>
    <x v="0"/>
  </r>
  <r>
    <x v="81"/>
    <x v="7"/>
    <d v="2022-10-21T00:00:00"/>
    <n v="7"/>
    <n v="0.14305555555555555"/>
    <x v="73"/>
    <x v="77"/>
    <d v="1899-12-30T00:00:00"/>
    <n v="0.17291666666666669"/>
    <n v="-8767"/>
    <n v="0.16805555555555554"/>
    <x v="81"/>
    <x v="76"/>
    <n v="66"/>
    <n v="210556"/>
    <x v="2"/>
    <n v="3.51"/>
    <x v="0"/>
    <x v="0"/>
    <x v="1"/>
  </r>
  <r>
    <x v="82"/>
    <x v="7"/>
    <d v="2022-10-21T00:00:00"/>
    <n v="8"/>
    <n v="0.11527777777777777"/>
    <x v="74"/>
    <x v="78"/>
    <s v="2.18e-05"/>
    <n v="8.5416666666666655E-2"/>
    <n v="-10764"/>
    <n v="0.26874999999999999"/>
    <x v="82"/>
    <x v="3"/>
    <n v="74"/>
    <n v="164801"/>
    <x v="2"/>
    <n v="2.75"/>
    <x v="0"/>
    <x v="0"/>
    <x v="0"/>
  </r>
  <r>
    <x v="83"/>
    <x v="7"/>
    <d v="2022-10-21T00:00:00"/>
    <n v="9"/>
    <n v="0.41180555555555554"/>
    <x v="75"/>
    <x v="79"/>
    <s v="0.000143"/>
    <d v="1899-12-30T00:09:00"/>
    <n v="-9202"/>
    <n v="0.54652777777777783"/>
    <x v="83"/>
    <x v="77"/>
    <n v="77"/>
    <n v="194165"/>
    <x v="2"/>
    <n v="3.24"/>
    <x v="0"/>
    <x v="0"/>
    <x v="0"/>
  </r>
  <r>
    <x v="84"/>
    <x v="7"/>
    <d v="2022-10-21T00:00:00"/>
    <n v="10"/>
    <n v="0.55347222222222225"/>
    <x v="76"/>
    <x v="80"/>
    <n v="0.23124999999999998"/>
    <d v="1899-12-30T00:12:00"/>
    <n v="-15512"/>
    <n v="0.26666666666666666"/>
    <x v="84"/>
    <x v="78"/>
    <n v="70"/>
    <n v="247962"/>
    <x v="2"/>
    <n v="4.13"/>
    <x v="0"/>
    <x v="0"/>
    <x v="1"/>
  </r>
  <r>
    <x v="85"/>
    <x v="7"/>
    <d v="2022-10-21T00:00:00"/>
    <n v="11"/>
    <s v="0.062"/>
    <x v="13"/>
    <x v="81"/>
    <d v="1899-12-30T00:00:00"/>
    <n v="0.3298611111111111"/>
    <n v="-7108"/>
    <s v="0.065"/>
    <x v="85"/>
    <x v="79"/>
    <n v="80"/>
    <n v="204852"/>
    <x v="2"/>
    <n v="3.41"/>
    <x v="0"/>
    <x v="1"/>
    <x v="0"/>
  </r>
  <r>
    <x v="86"/>
    <x v="7"/>
    <d v="2022-10-21T00:00:00"/>
    <n v="12"/>
    <n v="0.67222222222222217"/>
    <x v="77"/>
    <x v="82"/>
    <s v="0.00011"/>
    <n v="7.9861111111111119E-2"/>
    <n v="-14973"/>
    <n v="0.31666666666666665"/>
    <x v="86"/>
    <x v="80"/>
    <n v="69"/>
    <n v="188496"/>
    <x v="2"/>
    <n v="3.14"/>
    <x v="0"/>
    <x v="0"/>
    <x v="1"/>
  </r>
  <r>
    <x v="87"/>
    <x v="7"/>
    <d v="2022-10-21T00:00:00"/>
    <n v="13"/>
    <n v="0.3923611111111111"/>
    <x v="78"/>
    <x v="83"/>
    <s v="0.00134"/>
    <n v="0.64027777777777783"/>
    <n v="-14132"/>
    <d v="1899-12-30T00:14:00"/>
    <x v="87"/>
    <x v="81"/>
    <n v="72"/>
    <n v="191039"/>
    <x v="2"/>
    <n v="3.18"/>
    <x v="0"/>
    <x v="0"/>
    <x v="0"/>
  </r>
  <r>
    <x v="98"/>
    <x v="8"/>
    <d v="2021-11-12T00:00:00"/>
    <n v="1"/>
    <s v="0.000328"/>
    <x v="88"/>
    <x v="33"/>
    <d v="1899-12-30T00:00:00"/>
    <n v="7.9166666666666663E-2"/>
    <n v="-5314"/>
    <n v="0.34930555555555554"/>
    <x v="98"/>
    <x v="88"/>
    <n v="65"/>
    <n v="295413"/>
    <x v="3"/>
    <n v="4.92"/>
    <x v="0"/>
    <x v="1"/>
    <x v="1"/>
  </r>
  <r>
    <x v="99"/>
    <x v="8"/>
    <d v="2021-11-12T00:00:00"/>
    <n v="2"/>
    <s v="0.00108"/>
    <x v="18"/>
    <x v="93"/>
    <s v="1.62e-06"/>
    <n v="0.52847222222222223"/>
    <n v="-4908"/>
    <n v="0.26041666666666669"/>
    <x v="99"/>
    <x v="89"/>
    <n v="73"/>
    <n v="223093"/>
    <x v="3"/>
    <n v="3.72"/>
    <x v="0"/>
    <x v="1"/>
    <x v="0"/>
  </r>
  <r>
    <x v="100"/>
    <x v="8"/>
    <d v="2021-11-12T00:00:00"/>
    <n v="3"/>
    <n v="0.2388888888888889"/>
    <x v="89"/>
    <x v="94"/>
    <s v="0.000127"/>
    <d v="1899-12-30T00:13:00"/>
    <n v="-6506"/>
    <n v="0.19999999999999998"/>
    <x v="100"/>
    <x v="90"/>
    <n v="65"/>
    <n v="242720"/>
    <x v="3"/>
    <n v="4.05"/>
    <x v="0"/>
    <x v="1"/>
    <x v="1"/>
  </r>
  <r>
    <x v="101"/>
    <x v="8"/>
    <d v="2021-11-12T00:00:00"/>
    <n v="4"/>
    <n v="8.9583333333333334E-2"/>
    <x v="90"/>
    <x v="95"/>
    <d v="1899-12-30T00:00:00"/>
    <n v="0.39999999999999997"/>
    <n v="-6371"/>
    <n v="0.23750000000000002"/>
    <x v="101"/>
    <x v="91"/>
    <n v="76"/>
    <n v="219760"/>
    <x v="3"/>
    <n v="3.66"/>
    <x v="1"/>
    <x v="0"/>
    <x v="0"/>
  </r>
  <r>
    <x v="102"/>
    <x v="8"/>
    <d v="2021-11-12T00:00:00"/>
    <n v="5"/>
    <n v="0.11875000000000001"/>
    <x v="59"/>
    <x v="96"/>
    <s v="0.00203"/>
    <n v="0.16250000000000001"/>
    <n v="-7809"/>
    <n v="0.22013888888888888"/>
    <x v="102"/>
    <x v="78"/>
    <n v="71"/>
    <n v="329160"/>
    <x v="3"/>
    <n v="5.49"/>
    <x v="0"/>
    <x v="0"/>
    <x v="0"/>
  </r>
  <r>
    <x v="103"/>
    <x v="8"/>
    <d v="2021-11-12T00:00:00"/>
    <n v="6"/>
    <s v="0.000443"/>
    <x v="91"/>
    <x v="97"/>
    <s v="1.02e-05"/>
    <n v="0.5229166666666667"/>
    <s v="-5.62"/>
    <n v="0.19513888888888889"/>
    <x v="103"/>
    <x v="92"/>
    <n v="76"/>
    <n v="230960"/>
    <x v="3"/>
    <n v="3.85"/>
    <x v="1"/>
    <x v="1"/>
    <x v="0"/>
  </r>
  <r>
    <x v="104"/>
    <x v="8"/>
    <d v="2021-11-12T00:00:00"/>
    <n v="7"/>
    <n v="0.11597222222222221"/>
    <x v="92"/>
    <x v="98"/>
    <d v="1899-12-30T00:00:00"/>
    <n v="7.8472222222222221E-2"/>
    <n v="-6587"/>
    <n v="0.18333333333333335"/>
    <x v="104"/>
    <x v="4"/>
    <n v="64"/>
    <n v="244586"/>
    <x v="3"/>
    <n v="4.08"/>
    <x v="0"/>
    <x v="0"/>
    <x v="1"/>
  </r>
  <r>
    <x v="105"/>
    <x v="8"/>
    <d v="2021-11-12T00:00:00"/>
    <n v="8"/>
    <n v="0.22013888888888888"/>
    <x v="93"/>
    <x v="52"/>
    <s v="1.86e-06"/>
    <n v="0.5083333333333333"/>
    <n v="-6139"/>
    <n v="0.12152777777777778"/>
    <x v="105"/>
    <x v="93"/>
    <n v="76"/>
    <n v="193146"/>
    <x v="3"/>
    <n v="3.22"/>
    <x v="1"/>
    <x v="1"/>
    <x v="0"/>
  </r>
  <r>
    <x v="106"/>
    <x v="8"/>
    <d v="2021-11-12T00:00:00"/>
    <n v="9"/>
    <n v="0.58888888888888891"/>
    <x v="94"/>
    <x v="99"/>
    <d v="1899-12-30T00:00:00"/>
    <n v="0.53333333333333333"/>
    <n v="-7039"/>
    <s v="0.025"/>
    <x v="106"/>
    <x v="94"/>
    <n v="64"/>
    <n v="205786"/>
    <x v="3"/>
    <n v="3.43"/>
    <x v="1"/>
    <x v="1"/>
    <x v="1"/>
  </r>
  <r>
    <x v="107"/>
    <x v="8"/>
    <d v="2021-11-12T00:00:00"/>
    <n v="10"/>
    <n v="0.27708333333333335"/>
    <x v="95"/>
    <x v="100"/>
    <d v="1899-12-30T00:00:00"/>
    <n v="0.67847222222222225"/>
    <n v="-5954"/>
    <n v="0.19305555555555556"/>
    <x v="107"/>
    <x v="95"/>
    <n v="67"/>
    <n v="299080"/>
    <x v="3"/>
    <n v="4.9800000000000004"/>
    <x v="0"/>
    <x v="0"/>
    <x v="1"/>
  </r>
  <r>
    <x v="108"/>
    <x v="8"/>
    <d v="2021-11-12T00:00:00"/>
    <n v="11"/>
    <n v="0.19999999999999998"/>
    <x v="96"/>
    <x v="101"/>
    <s v="0.00218"/>
    <n v="7.5694444444444439E-2"/>
    <n v="-5623"/>
    <n v="0.44305555555555554"/>
    <x v="108"/>
    <x v="96"/>
    <n v="64"/>
    <n v="202960"/>
    <x v="3"/>
    <n v="3.38"/>
    <x v="0"/>
    <x v="1"/>
    <x v="1"/>
  </r>
  <r>
    <x v="109"/>
    <x v="8"/>
    <d v="2021-11-12T00:00:00"/>
    <n v="12"/>
    <n v="0.43194444444444446"/>
    <x v="97"/>
    <x v="102"/>
    <s v="9.19e-05"/>
    <n v="9.2361111111111116E-2"/>
    <n v="-11827"/>
    <n v="0.19097222222222221"/>
    <x v="109"/>
    <x v="97"/>
    <n v="65"/>
    <n v="284773"/>
    <x v="3"/>
    <n v="4.75"/>
    <x v="0"/>
    <x v="0"/>
    <x v="1"/>
  </r>
  <r>
    <x v="110"/>
    <x v="8"/>
    <d v="2021-11-12T00:00:00"/>
    <n v="13"/>
    <s v="0.066"/>
    <x v="14"/>
    <x v="103"/>
    <d v="1899-12-30T00:00:00"/>
    <n v="0.42222222222222222"/>
    <n v="-7138"/>
    <d v="1899-12-30T00:05:00"/>
    <x v="110"/>
    <x v="98"/>
    <n v="63"/>
    <n v="240466"/>
    <x v="3"/>
    <n v="4.01"/>
    <x v="0"/>
    <x v="0"/>
    <x v="1"/>
  </r>
  <r>
    <x v="111"/>
    <x v="8"/>
    <d v="2021-11-12T00:00:00"/>
    <n v="14"/>
    <n v="0.18819444444444444"/>
    <x v="98"/>
    <x v="104"/>
    <d v="1899-12-30T00:00:00"/>
    <n v="0.15486111111111112"/>
    <n v="-5098"/>
    <n v="0.25208333333333333"/>
    <x v="111"/>
    <x v="99"/>
    <n v="70"/>
    <n v="245426"/>
    <x v="3"/>
    <n v="4.09"/>
    <x v="0"/>
    <x v="0"/>
    <x v="1"/>
  </r>
  <r>
    <x v="112"/>
    <x v="8"/>
    <d v="2021-11-12T00:00:00"/>
    <n v="15"/>
    <s v="0.00324"/>
    <x v="99"/>
    <x v="105"/>
    <d v="1899-12-30T00:00:00"/>
    <d v="1899-12-30T00:18:00"/>
    <n v="-5864"/>
    <n v="0.24861111111111112"/>
    <x v="112"/>
    <x v="100"/>
    <n v="63"/>
    <n v="220413"/>
    <x v="3"/>
    <n v="3.67"/>
    <x v="1"/>
    <x v="1"/>
    <x v="1"/>
  </r>
  <r>
    <x v="113"/>
    <x v="8"/>
    <d v="2021-11-12T00:00:00"/>
    <n v="16"/>
    <s v="0.075"/>
    <x v="100"/>
    <x v="106"/>
    <d v="1899-12-30T00:00:00"/>
    <n v="9.1666666666666674E-2"/>
    <n v="-7673"/>
    <n v="0.19027777777777777"/>
    <x v="113"/>
    <x v="41"/>
    <n v="66"/>
    <n v="238866"/>
    <x v="3"/>
    <n v="3.98"/>
    <x v="0"/>
    <x v="0"/>
    <x v="1"/>
  </r>
  <r>
    <x v="114"/>
    <x v="8"/>
    <d v="2021-11-12T00:00:00"/>
    <n v="17"/>
    <n v="0.3430555555555555"/>
    <x v="101"/>
    <x v="107"/>
    <d v="1899-12-30T00:00:00"/>
    <n v="7.4305555555555555E-2"/>
    <n v="-7855"/>
    <s v="0.031"/>
    <x v="114"/>
    <x v="101"/>
    <n v="63"/>
    <n v="285280"/>
    <x v="3"/>
    <n v="4.75"/>
    <x v="0"/>
    <x v="0"/>
    <x v="1"/>
  </r>
  <r>
    <x v="115"/>
    <x v="8"/>
    <d v="2021-11-12T00:00:00"/>
    <n v="18"/>
    <n v="0.10972222222222222"/>
    <x v="102"/>
    <x v="108"/>
    <d v="1899-12-30T00:00:00"/>
    <n v="0.5708333333333333"/>
    <n v="-6031"/>
    <n v="0.20972222222222223"/>
    <x v="115"/>
    <x v="102"/>
    <n v="66"/>
    <n v="223333"/>
    <x v="3"/>
    <n v="3.72"/>
    <x v="0"/>
    <x v="1"/>
    <x v="1"/>
  </r>
  <r>
    <x v="116"/>
    <x v="8"/>
    <d v="2021-11-12T00:00:00"/>
    <n v="19"/>
    <s v="0.00955"/>
    <x v="103"/>
    <x v="109"/>
    <s v="1.88e-05"/>
    <n v="7.013888888888889E-2"/>
    <n v="-6974"/>
    <n v="0.22638888888888889"/>
    <x v="116"/>
    <x v="103"/>
    <n v="61"/>
    <n v="220520"/>
    <x v="3"/>
    <n v="3.68"/>
    <x v="1"/>
    <x v="1"/>
    <x v="1"/>
  </r>
  <r>
    <x v="117"/>
    <x v="8"/>
    <d v="2021-11-12T00:00:00"/>
    <n v="20"/>
    <n v="0.4604166666666667"/>
    <x v="104"/>
    <x v="110"/>
    <s v="1.57e-06"/>
    <n v="7.4999999999999997E-2"/>
    <n v="-13778"/>
    <n v="0.39166666666666666"/>
    <x v="117"/>
    <x v="104"/>
    <n v="61"/>
    <n v="321640"/>
    <x v="3"/>
    <n v="5.36"/>
    <x v="0"/>
    <x v="0"/>
    <x v="1"/>
  </r>
  <r>
    <x v="118"/>
    <x v="8"/>
    <d v="2021-11-12T00:00:00"/>
    <n v="21"/>
    <n v="0.45902777777777781"/>
    <x v="105"/>
    <x v="111"/>
    <d v="1899-12-30T00:00:00"/>
    <n v="0.13402777777777777"/>
    <n v="-10802"/>
    <s v="0.031"/>
    <x v="118"/>
    <x v="105"/>
    <n v="58"/>
    <n v="264253"/>
    <x v="3"/>
    <n v="4.4000000000000004"/>
    <x v="0"/>
    <x v="0"/>
    <x v="1"/>
  </r>
  <r>
    <x v="119"/>
    <x v="8"/>
    <d v="2021-11-12T00:00:00"/>
    <n v="22"/>
    <n v="0.14861111111111111"/>
    <x v="106"/>
    <x v="112"/>
    <d v="1899-12-30T00:00:00"/>
    <n v="0.60902777777777783"/>
    <n v="-5824"/>
    <n v="0.26666666666666666"/>
    <x v="119"/>
    <x v="106"/>
    <n v="67"/>
    <n v="297013"/>
    <x v="3"/>
    <n v="4.95"/>
    <x v="0"/>
    <x v="1"/>
    <x v="1"/>
  </r>
  <r>
    <x v="120"/>
    <x v="8"/>
    <d v="2021-11-12T00:00:00"/>
    <n v="23"/>
    <n v="0.56736111111111109"/>
    <x v="9"/>
    <x v="113"/>
    <d v="1899-12-30T00:00:00"/>
    <n v="0.10694444444444445"/>
    <n v="-9455"/>
    <n v="0.19097222222222221"/>
    <x v="120"/>
    <x v="107"/>
    <n v="70"/>
    <n v="258812"/>
    <x v="3"/>
    <n v="4.3099999999999996"/>
    <x v="0"/>
    <x v="0"/>
    <x v="1"/>
  </r>
  <r>
    <x v="121"/>
    <x v="8"/>
    <d v="2021-11-12T00:00:00"/>
    <n v="24"/>
    <n v="0.37361111111111112"/>
    <x v="90"/>
    <x v="114"/>
    <s v="2.83e-06"/>
    <n v="8.4027777777777771E-2"/>
    <n v="-7075"/>
    <n v="0.64652777777777781"/>
    <x v="121"/>
    <x v="108"/>
    <n v="67"/>
    <n v="224240"/>
    <x v="3"/>
    <n v="3.74"/>
    <x v="1"/>
    <x v="1"/>
    <x v="1"/>
  </r>
  <r>
    <x v="122"/>
    <x v="8"/>
    <d v="2021-11-12T00:00:00"/>
    <n v="25"/>
    <s v="0.00188"/>
    <x v="96"/>
    <x v="115"/>
    <s v="3.72e-06"/>
    <s v="0.083"/>
    <n v="-6106"/>
    <n v="0.37152777777777773"/>
    <x v="122"/>
    <x v="109"/>
    <n v="70"/>
    <n v="225960"/>
    <x v="3"/>
    <n v="3.77"/>
    <x v="0"/>
    <x v="1"/>
    <x v="1"/>
  </r>
  <r>
    <x v="123"/>
    <x v="8"/>
    <d v="2021-11-12T00:00:00"/>
    <n v="26"/>
    <n v="0.11597222222222221"/>
    <x v="107"/>
    <x v="116"/>
    <d v="1899-12-30T00:00:00"/>
    <n v="0.12708333333333333"/>
    <n v="-4516"/>
    <n v="0.34375"/>
    <x v="123"/>
    <x v="110"/>
    <n v="70"/>
    <n v="285106"/>
    <x v="3"/>
    <n v="4.75"/>
    <x v="0"/>
    <x v="1"/>
    <x v="1"/>
  </r>
  <r>
    <x v="124"/>
    <x v="8"/>
    <d v="2021-11-12T00:00:00"/>
    <n v="27"/>
    <n v="0.17777777777777778"/>
    <x v="108"/>
    <x v="117"/>
    <d v="1899-12-30T00:00:00"/>
    <n v="9.3055555555555558E-2"/>
    <n v="-5828"/>
    <s v="0.031"/>
    <x v="124"/>
    <x v="111"/>
    <n v="63"/>
    <n v="263533"/>
    <x v="3"/>
    <n v="4.3899999999999997"/>
    <x v="0"/>
    <x v="0"/>
    <x v="1"/>
  </r>
  <r>
    <x v="125"/>
    <x v="8"/>
    <d v="2021-11-12T00:00:00"/>
    <n v="28"/>
    <n v="0.56736111111111109"/>
    <x v="109"/>
    <x v="118"/>
    <d v="1899-12-30T00:00:00"/>
    <n v="0.21666666666666667"/>
    <n v="-6918"/>
    <n v="0.20347222222222225"/>
    <x v="125"/>
    <x v="77"/>
    <n v="64"/>
    <n v="240226"/>
    <x v="3"/>
    <n v="4"/>
    <x v="0"/>
    <x v="0"/>
    <x v="1"/>
  </r>
  <r>
    <x v="126"/>
    <x v="8"/>
    <d v="2021-11-12T00:00:00"/>
    <n v="29"/>
    <s v="0.00115"/>
    <x v="110"/>
    <x v="64"/>
    <d v="1899-12-30T00:00:00"/>
    <n v="7.2222222222222229E-2"/>
    <n v="-5025"/>
    <n v="0.19513888888888889"/>
    <x v="126"/>
    <x v="112"/>
    <n v="69"/>
    <n v="200280"/>
    <x v="3"/>
    <n v="3.34"/>
    <x v="1"/>
    <x v="1"/>
    <x v="1"/>
  </r>
  <r>
    <x v="127"/>
    <x v="8"/>
    <d v="2021-11-12T00:00:00"/>
    <n v="30"/>
    <n v="0.19027777777777777"/>
    <x v="111"/>
    <x v="86"/>
    <d v="1899-12-30T00:00:00"/>
    <s v="0.088"/>
    <n v="-8771"/>
    <n v="0.21041666666666667"/>
    <x v="127"/>
    <x v="113"/>
    <n v="80"/>
    <n v="613026"/>
    <x v="3"/>
    <n v="10.220000000000001"/>
    <x v="0"/>
    <x v="0"/>
    <x v="0"/>
  </r>
  <r>
    <x v="128"/>
    <x v="9"/>
    <d v="2021-04-09T00:00:00"/>
    <n v="1"/>
    <n v="8.4722222222222213E-2"/>
    <x v="112"/>
    <x v="119"/>
    <d v="1899-12-30T00:00:00"/>
    <n v="0.23124999999999998"/>
    <n v="-4963"/>
    <n v="0.19583333333333333"/>
    <x v="128"/>
    <x v="114"/>
    <n v="78"/>
    <n v="241591"/>
    <x v="3"/>
    <n v="4.03"/>
    <x v="0"/>
    <x v="1"/>
    <x v="0"/>
  </r>
  <r>
    <x v="129"/>
    <x v="9"/>
    <d v="2021-04-09T00:00:00"/>
    <n v="2"/>
    <n v="8.0555555555555561E-2"/>
    <x v="113"/>
    <x v="120"/>
    <d v="1899-12-30T00:00:00"/>
    <d v="1899-12-30T00:32:00"/>
    <s v="-4.61"/>
    <n v="0.18888888888888888"/>
    <x v="129"/>
    <x v="115"/>
    <n v="66"/>
    <n v="294419"/>
    <x v="3"/>
    <n v="4.91"/>
    <x v="0"/>
    <x v="1"/>
    <x v="1"/>
  </r>
  <r>
    <x v="130"/>
    <x v="9"/>
    <d v="2021-04-09T00:00:00"/>
    <n v="3"/>
    <d v="1899-12-30T00:13:00"/>
    <x v="114"/>
    <x v="121"/>
    <s v="3.97e-06"/>
    <n v="0.58680555555555558"/>
    <n v="-4311"/>
    <s v="0.031"/>
    <x v="130"/>
    <x v="116"/>
    <n v="78"/>
    <n v="235766"/>
    <x v="3"/>
    <n v="3.93"/>
    <x v="0"/>
    <x v="1"/>
    <x v="0"/>
  </r>
  <r>
    <x v="131"/>
    <x v="9"/>
    <d v="2021-04-09T00:00:00"/>
    <n v="4"/>
    <n v="7.3611111111111113E-2"/>
    <x v="115"/>
    <x v="103"/>
    <d v="1899-12-30T00:00:00"/>
    <n v="0.64861111111111114"/>
    <n v="-6135"/>
    <n v="0.20555555555555557"/>
    <x v="131"/>
    <x v="117"/>
    <n v="65"/>
    <n v="254254"/>
    <x v="3"/>
    <n v="4.24"/>
    <x v="1"/>
    <x v="0"/>
    <x v="1"/>
  </r>
  <r>
    <x v="132"/>
    <x v="9"/>
    <d v="2021-04-09T00:00:00"/>
    <n v="5"/>
    <n v="0.25625000000000003"/>
    <x v="4"/>
    <x v="122"/>
    <d v="1899-12-30T00:00:00"/>
    <n v="0.12291666666666667"/>
    <n v="-7377"/>
    <n v="0.33749999999999997"/>
    <x v="132"/>
    <x v="52"/>
    <n v="67"/>
    <n v="234515"/>
    <x v="3"/>
    <n v="3.91"/>
    <x v="0"/>
    <x v="0"/>
    <x v="1"/>
  </r>
  <r>
    <x v="133"/>
    <x v="9"/>
    <d v="2021-04-09T00:00:00"/>
    <n v="6"/>
    <n v="0.43263888888888885"/>
    <x v="35"/>
    <x v="123"/>
    <d v="1899-12-30T00:00:00"/>
    <n v="0.61458333333333337"/>
    <n v="-4856"/>
    <n v="0.24027777777777778"/>
    <x v="133"/>
    <x v="99"/>
    <n v="81"/>
    <n v="231124"/>
    <x v="3"/>
    <n v="3.85"/>
    <x v="0"/>
    <x v="1"/>
    <x v="0"/>
  </r>
  <r>
    <x v="134"/>
    <x v="9"/>
    <d v="2021-04-09T00:00:00"/>
    <n v="7"/>
    <n v="0.10833333333333334"/>
    <x v="116"/>
    <x v="92"/>
    <d v="1899-12-30T00:00:00"/>
    <n v="0.15833333333333333"/>
    <n v="-6066"/>
    <n v="0.19930555555555554"/>
    <x v="134"/>
    <x v="118"/>
    <n v="63"/>
    <n v="263377"/>
    <x v="3"/>
    <n v="4.3899999999999997"/>
    <x v="0"/>
    <x v="1"/>
    <x v="1"/>
  </r>
  <r>
    <x v="135"/>
    <x v="9"/>
    <d v="2021-04-09T00:00:00"/>
    <n v="8"/>
    <n v="0.15416666666666667"/>
    <x v="65"/>
    <x v="124"/>
    <d v="1899-12-30T00:00:00"/>
    <n v="0.23124999999999998"/>
    <n v="-3669"/>
    <n v="0.43611111111111112"/>
    <x v="135"/>
    <x v="119"/>
    <n v="62"/>
    <n v="200575"/>
    <x v="3"/>
    <n v="3.34"/>
    <x v="0"/>
    <x v="1"/>
    <x v="1"/>
  </r>
  <r>
    <x v="136"/>
    <x v="9"/>
    <d v="2021-04-09T00:00:00"/>
    <n v="9"/>
    <n v="0.37361111111111112"/>
    <x v="116"/>
    <x v="125"/>
    <d v="1899-12-30T00:00:00"/>
    <n v="8.5416666666666655E-2"/>
    <s v="-4.99"/>
    <n v="0.19791666666666666"/>
    <x v="136"/>
    <x v="120"/>
    <n v="64"/>
    <n v="261842"/>
    <x v="3"/>
    <n v="4.3600000000000003"/>
    <x v="0"/>
    <x v="0"/>
    <x v="1"/>
  </r>
  <r>
    <x v="137"/>
    <x v="9"/>
    <d v="2021-04-09T00:00:00"/>
    <n v="10"/>
    <s v="0.0033"/>
    <x v="117"/>
    <x v="126"/>
    <d v="1899-12-30T00:00:00"/>
    <n v="7.4999999999999997E-2"/>
    <n v="-4665"/>
    <n v="0.33611111111111108"/>
    <x v="137"/>
    <x v="121"/>
    <n v="76"/>
    <n v="243136"/>
    <x v="3"/>
    <n v="4.05"/>
    <x v="0"/>
    <x v="1"/>
    <x v="0"/>
  </r>
  <r>
    <x v="138"/>
    <x v="9"/>
    <d v="2021-04-09T00:00:00"/>
    <n v="11"/>
    <n v="0.16041666666666668"/>
    <x v="118"/>
    <x v="31"/>
    <d v="1899-12-30T00:00:00"/>
    <n v="9.930555555555555E-2"/>
    <n v="-4433"/>
    <n v="0.31041666666666667"/>
    <x v="138"/>
    <x v="122"/>
    <n v="67"/>
    <n v="225328"/>
    <x v="3"/>
    <n v="3.76"/>
    <x v="1"/>
    <x v="1"/>
    <x v="1"/>
  </r>
  <r>
    <x v="139"/>
    <x v="9"/>
    <d v="2021-04-09T00:00:00"/>
    <n v="12"/>
    <n v="0.33888888888888885"/>
    <x v="91"/>
    <x v="127"/>
    <d v="1899-12-30T00:00:00"/>
    <n v="0.11041666666666666"/>
    <n v="-8524"/>
    <n v="0.19583333333333333"/>
    <x v="139"/>
    <x v="123"/>
    <n v="61"/>
    <n v="245290"/>
    <x v="3"/>
    <n v="4.09"/>
    <x v="0"/>
    <x v="1"/>
    <x v="1"/>
  </r>
  <r>
    <x v="140"/>
    <x v="9"/>
    <d v="2021-04-09T00:00:00"/>
    <n v="13"/>
    <s v="0.000191"/>
    <x v="119"/>
    <x v="128"/>
    <d v="1899-12-30T00:00:00"/>
    <n v="0.12569444444444444"/>
    <n v="-4063"/>
    <n v="0.23680555555555557"/>
    <x v="140"/>
    <x v="124"/>
    <n v="60"/>
    <n v="279359"/>
    <x v="3"/>
    <n v="4.66"/>
    <x v="0"/>
    <x v="1"/>
    <x v="1"/>
  </r>
  <r>
    <x v="141"/>
    <x v="9"/>
    <d v="2021-04-09T00:00:00"/>
    <n v="14"/>
    <n v="0.32916666666666666"/>
    <x v="40"/>
    <x v="129"/>
    <d v="1899-12-30T00:00:00"/>
    <n v="0.62291666666666667"/>
    <n v="-6201"/>
    <n v="0.24861111111111112"/>
    <x v="141"/>
    <x v="125"/>
    <n v="62"/>
    <n v="237580"/>
    <x v="3"/>
    <n v="3.96"/>
    <x v="1"/>
    <x v="0"/>
    <x v="1"/>
  </r>
  <r>
    <x v="142"/>
    <x v="9"/>
    <d v="2021-04-09T00:00:00"/>
    <n v="15"/>
    <n v="0.12569444444444444"/>
    <x v="120"/>
    <x v="130"/>
    <d v="1899-12-30T00:00:00"/>
    <n v="0.11736111111111112"/>
    <n v="-6112"/>
    <n v="0.22847222222222222"/>
    <x v="142"/>
    <x v="126"/>
    <n v="63"/>
    <n v="312107"/>
    <x v="3"/>
    <n v="5.2"/>
    <x v="0"/>
    <x v="0"/>
    <x v="1"/>
  </r>
  <r>
    <x v="143"/>
    <x v="9"/>
    <d v="2021-04-09T00:00:00"/>
    <n v="16"/>
    <n v="0.56874999999999998"/>
    <x v="121"/>
    <x v="131"/>
    <d v="1899-12-30T00:00:00"/>
    <n v="9.5138888888888884E-2"/>
    <n v="-9208"/>
    <n v="0.21388888888888891"/>
    <x v="143"/>
    <x v="127"/>
    <n v="61"/>
    <n v="267833"/>
    <x v="3"/>
    <n v="4.46"/>
    <x v="0"/>
    <x v="0"/>
    <x v="1"/>
  </r>
  <r>
    <x v="144"/>
    <x v="9"/>
    <d v="2021-04-09T00:00:00"/>
    <n v="17"/>
    <n v="0.28194444444444444"/>
    <x v="28"/>
    <x v="132"/>
    <d v="1899-12-30T00:00:00"/>
    <n v="7.0833333333333331E-2"/>
    <n v="-5677"/>
    <n v="0.18680555555555556"/>
    <x v="144"/>
    <x v="128"/>
    <n v="59"/>
    <n v="237338"/>
    <x v="3"/>
    <n v="3.96"/>
    <x v="0"/>
    <x v="0"/>
    <x v="1"/>
  </r>
  <r>
    <x v="145"/>
    <x v="9"/>
    <d v="2021-04-09T00:00:00"/>
    <n v="18"/>
    <n v="0.10902777777777778"/>
    <x v="122"/>
    <x v="133"/>
    <d v="1899-12-30T00:00:00"/>
    <n v="0.23819444444444446"/>
    <s v="-6.69"/>
    <n v="0.19652777777777777"/>
    <x v="145"/>
    <x v="129"/>
    <n v="59"/>
    <n v="263865"/>
    <x v="3"/>
    <n v="4.4000000000000004"/>
    <x v="0"/>
    <x v="0"/>
    <x v="1"/>
  </r>
  <r>
    <x v="146"/>
    <x v="9"/>
    <d v="2021-04-09T00:00:00"/>
    <n v="19"/>
    <n v="0.19375000000000001"/>
    <x v="123"/>
    <x v="134"/>
    <d v="1899-12-30T00:00:00"/>
    <n v="0.11597222222222221"/>
    <n v="-4367"/>
    <n v="0.40069444444444446"/>
    <x v="146"/>
    <x v="130"/>
    <n v="64"/>
    <n v="238443"/>
    <x v="3"/>
    <n v="3.97"/>
    <x v="1"/>
    <x v="1"/>
    <x v="1"/>
  </r>
  <r>
    <x v="147"/>
    <x v="9"/>
    <d v="2021-04-09T00:00:00"/>
    <n v="20"/>
    <n v="9.375E-2"/>
    <x v="124"/>
    <x v="135"/>
    <d v="1899-12-30T00:00:00"/>
    <n v="0.20555555555555557"/>
    <n v="-5025"/>
    <n v="0.28402777777777777"/>
    <x v="147"/>
    <x v="88"/>
    <n v="62"/>
    <n v="241822"/>
    <x v="3"/>
    <n v="4.03"/>
    <x v="0"/>
    <x v="1"/>
    <x v="1"/>
  </r>
  <r>
    <x v="148"/>
    <x v="9"/>
    <d v="2021-04-09T00:00:00"/>
    <n v="21"/>
    <n v="0.56666666666666665"/>
    <x v="48"/>
    <x v="39"/>
    <d v="1899-12-30T00:00:00"/>
    <n v="7.013888888888889E-2"/>
    <s v="-7.61"/>
    <n v="0.25833333333333336"/>
    <x v="148"/>
    <x v="131"/>
    <n v="59"/>
    <n v="220839"/>
    <x v="3"/>
    <n v="3.68"/>
    <x v="0"/>
    <x v="0"/>
    <x v="1"/>
  </r>
  <r>
    <x v="149"/>
    <x v="9"/>
    <d v="2021-04-09T00:00:00"/>
    <n v="22"/>
    <n v="0.1125"/>
    <x v="78"/>
    <x v="136"/>
    <d v="1899-12-30T00:00:00"/>
    <n v="0.46319444444444446"/>
    <n v="-6269"/>
    <n v="0.36180555555555555"/>
    <x v="149"/>
    <x v="132"/>
    <n v="70"/>
    <n v="277591"/>
    <x v="3"/>
    <n v="4.63"/>
    <x v="1"/>
    <x v="1"/>
    <x v="1"/>
  </r>
  <r>
    <x v="150"/>
    <x v="9"/>
    <d v="2021-04-09T00:00:00"/>
    <n v="23"/>
    <n v="0.58958333333333335"/>
    <x v="22"/>
    <x v="137"/>
    <d v="1899-12-30T00:00:00"/>
    <n v="0.54097222222222219"/>
    <n v="-8819"/>
    <n v="0.18263888888888891"/>
    <x v="150"/>
    <x v="133"/>
    <n v="62"/>
    <n v="244236"/>
    <x v="3"/>
    <n v="4.07"/>
    <x v="0"/>
    <x v="0"/>
    <x v="1"/>
  </r>
  <r>
    <x v="151"/>
    <x v="9"/>
    <d v="2021-04-09T00:00:00"/>
    <n v="24"/>
    <n v="0.15625"/>
    <x v="125"/>
    <x v="138"/>
    <d v="1899-12-30T00:00:00"/>
    <s v="0.092"/>
    <n v="-7062"/>
    <n v="0.25347222222222221"/>
    <x v="151"/>
    <x v="134"/>
    <n v="64"/>
    <n v="189495"/>
    <x v="3"/>
    <n v="3.16"/>
    <x v="0"/>
    <x v="1"/>
    <x v="1"/>
  </r>
  <r>
    <x v="152"/>
    <x v="9"/>
    <d v="2021-04-09T00:00:00"/>
    <n v="25"/>
    <n v="0.35694444444444445"/>
    <x v="126"/>
    <x v="139"/>
    <s v="1.2e-05"/>
    <n v="7.5694444444444439E-2"/>
    <n v="-11548"/>
    <n v="0.34930555555555554"/>
    <x v="152"/>
    <x v="135"/>
    <n v="63"/>
    <n v="208608"/>
    <x v="3"/>
    <n v="3.48"/>
    <x v="0"/>
    <x v="0"/>
    <x v="1"/>
  </r>
  <r>
    <x v="153"/>
    <x v="9"/>
    <d v="2021-04-09T00:00:00"/>
    <n v="26"/>
    <n v="0.23194444444444443"/>
    <x v="37"/>
    <x v="140"/>
    <d v="1899-12-30T00:00:00"/>
    <n v="0.69097222222222221"/>
    <s v="-7.86"/>
    <n v="0.3743055555555555"/>
    <x v="153"/>
    <x v="136"/>
    <n v="61"/>
    <n v="242157"/>
    <x v="3"/>
    <n v="4.04"/>
    <x v="0"/>
    <x v="1"/>
    <x v="1"/>
  </r>
  <r>
    <x v="154"/>
    <x v="10"/>
    <d v="2021-01-07T00:00:00"/>
    <n v="1"/>
    <n v="0.57847222222222217"/>
    <x v="127"/>
    <x v="141"/>
    <s v="0.00179"/>
    <n v="0.10069444444444443"/>
    <n v="-9195"/>
    <d v="1899-12-30T00:17:00"/>
    <x v="154"/>
    <x v="137"/>
    <n v="66"/>
    <n v="214706"/>
    <x v="3"/>
    <n v="3.58"/>
    <x v="0"/>
    <x v="0"/>
    <x v="1"/>
  </r>
  <r>
    <x v="155"/>
    <x v="10"/>
    <d v="2021-01-07T00:00:00"/>
    <n v="2"/>
    <n v="6.3888888888888898E-2"/>
    <x v="128"/>
    <x v="142"/>
    <d v="1899-12-30T00:00:00"/>
    <n v="7.8472222222222221E-2"/>
    <n v="-12077"/>
    <n v="0.26180555555555557"/>
    <x v="155"/>
    <x v="42"/>
    <n v="67"/>
    <n v="244000"/>
    <x v="3"/>
    <n v="4.07"/>
    <x v="0"/>
    <x v="0"/>
    <x v="1"/>
  </r>
  <r>
    <x v="156"/>
    <x v="10"/>
    <d v="2021-01-07T00:00:00"/>
    <n v="3"/>
    <n v="5.7638888888888885E-2"/>
    <x v="129"/>
    <x v="143"/>
    <n v="0.11527777777777777"/>
    <n v="8.4027777777777771E-2"/>
    <n v="-10491"/>
    <n v="0.28333333333333333"/>
    <x v="156"/>
    <x v="14"/>
    <n v="64"/>
    <n v="185320"/>
    <x v="3"/>
    <n v="3.09"/>
    <x v="0"/>
    <x v="0"/>
    <x v="1"/>
  </r>
  <r>
    <x v="157"/>
    <x v="10"/>
    <d v="2021-01-07T00:00:00"/>
    <n v="4"/>
    <n v="0.51041666666666663"/>
    <x v="130"/>
    <x v="144"/>
    <s v="6.59e-05"/>
    <n v="7.2916666666666671E-2"/>
    <n v="-8193"/>
    <n v="0.21666666666666667"/>
    <x v="157"/>
    <x v="138"/>
    <n v="64"/>
    <n v="229840"/>
    <x v="3"/>
    <n v="3.83"/>
    <x v="0"/>
    <x v="0"/>
    <x v="1"/>
  </r>
  <r>
    <x v="158"/>
    <x v="10"/>
    <d v="2021-01-07T00:00:00"/>
    <n v="5"/>
    <n v="0.60972222222222217"/>
    <x v="131"/>
    <x v="145"/>
    <s v="2.67e-05"/>
    <n v="0.55347222222222225"/>
    <n v="-10381"/>
    <n v="0.33888888888888885"/>
    <x v="158"/>
    <x v="139"/>
    <n v="66"/>
    <n v="245440"/>
    <x v="3"/>
    <n v="4.09"/>
    <x v="0"/>
    <x v="0"/>
    <x v="1"/>
  </r>
  <r>
    <x v="159"/>
    <x v="10"/>
    <d v="2021-01-07T00:00:00"/>
    <n v="6"/>
    <n v="0.2902777777777778"/>
    <x v="121"/>
    <x v="69"/>
    <d v="1899-12-30T00:00:00"/>
    <n v="7.1527777777777773E-2"/>
    <n v="-7589"/>
    <n v="0.18333333333333335"/>
    <x v="159"/>
    <x v="24"/>
    <n v="64"/>
    <n v="215626"/>
    <x v="3"/>
    <n v="3.59"/>
    <x v="0"/>
    <x v="1"/>
    <x v="1"/>
  </r>
  <r>
    <x v="160"/>
    <x v="10"/>
    <d v="2021-01-07T00:00:00"/>
    <n v="7"/>
    <n v="6.0416666666666667E-2"/>
    <x v="113"/>
    <x v="146"/>
    <d v="1899-12-30T00:00:00"/>
    <n v="7.9166666666666663E-2"/>
    <n v="-10733"/>
    <n v="0.26111111111111113"/>
    <x v="160"/>
    <x v="140"/>
    <n v="62"/>
    <n v="315146"/>
    <x v="3"/>
    <n v="5.25"/>
    <x v="0"/>
    <x v="0"/>
    <x v="1"/>
  </r>
  <r>
    <x v="161"/>
    <x v="10"/>
    <d v="2021-01-07T00:00:00"/>
    <n v="8"/>
    <n v="0.48333333333333334"/>
    <x v="50"/>
    <x v="118"/>
    <d v="1899-12-30T00:00:00"/>
    <n v="8.9583333333333334E-2"/>
    <n v="-8322"/>
    <n v="0.18333333333333335"/>
    <x v="161"/>
    <x v="141"/>
    <n v="61"/>
    <n v="225880"/>
    <x v="3"/>
    <n v="3.76"/>
    <x v="0"/>
    <x v="0"/>
    <x v="1"/>
  </r>
  <r>
    <x v="162"/>
    <x v="10"/>
    <d v="2021-01-07T00:00:00"/>
    <n v="9"/>
    <n v="0.56874999999999998"/>
    <x v="63"/>
    <x v="147"/>
    <s v="0.000904"/>
    <n v="9.8611111111111108E-2"/>
    <n v="-11266"/>
    <n v="0.4284722222222222"/>
    <x v="162"/>
    <x v="1"/>
    <n v="63"/>
    <n v="275320"/>
    <x v="3"/>
    <n v="4.59"/>
    <x v="0"/>
    <x v="0"/>
    <x v="1"/>
  </r>
  <r>
    <x v="163"/>
    <x v="10"/>
    <d v="2021-01-07T00:00:00"/>
    <n v="10"/>
    <n v="0.59375"/>
    <x v="132"/>
    <x v="148"/>
    <s v="1.97e-05"/>
    <n v="0.63958333333333328"/>
    <n v="-9277"/>
    <n v="0.24513888888888891"/>
    <x v="163"/>
    <x v="24"/>
    <n v="63"/>
    <n v="260440"/>
    <x v="3"/>
    <n v="4.34"/>
    <x v="0"/>
    <x v="0"/>
    <x v="1"/>
  </r>
  <r>
    <x v="164"/>
    <x v="10"/>
    <d v="2021-01-07T00:00:00"/>
    <n v="11"/>
    <n v="0.53333333333333333"/>
    <x v="1"/>
    <x v="122"/>
    <s v="0.000155"/>
    <n v="8.5416666666666655E-2"/>
    <n v="-9014"/>
    <n v="0.24097222222222223"/>
    <x v="164"/>
    <x v="96"/>
    <n v="63"/>
    <n v="275040"/>
    <x v="3"/>
    <n v="4.58"/>
    <x v="0"/>
    <x v="0"/>
    <x v="1"/>
  </r>
  <r>
    <x v="165"/>
    <x v="10"/>
    <d v="2021-01-07T00:00:00"/>
    <n v="12"/>
    <n v="4.5833333333333337E-2"/>
    <x v="121"/>
    <x v="149"/>
    <n v="0.12430555555555556"/>
    <n v="0.67499999999999993"/>
    <n v="-7704"/>
    <n v="0.28958333333333336"/>
    <x v="165"/>
    <x v="142"/>
    <n v="62"/>
    <n v="215920"/>
    <x v="3"/>
    <n v="3.6"/>
    <x v="0"/>
    <x v="0"/>
    <x v="1"/>
  </r>
  <r>
    <x v="166"/>
    <x v="10"/>
    <d v="2021-01-07T00:00:00"/>
    <n v="13"/>
    <n v="0.60833333333333328"/>
    <x v="133"/>
    <x v="150"/>
    <s v="0.000136"/>
    <n v="7.9861111111111119E-2"/>
    <n v="-11609"/>
    <n v="0.33611111111111108"/>
    <x v="166"/>
    <x v="143"/>
    <n v="63"/>
    <n v="257773"/>
    <x v="3"/>
    <n v="4.3"/>
    <x v="0"/>
    <x v="0"/>
    <x v="1"/>
  </r>
  <r>
    <x v="167"/>
    <x v="10"/>
    <d v="2021-01-07T00:00:00"/>
    <n v="14"/>
    <n v="0.57986111111111105"/>
    <x v="134"/>
    <x v="151"/>
    <s v="4.83e-06"/>
    <n v="9.3055555555555558E-2"/>
    <n v="-10813"/>
    <n v="0.17013888888888887"/>
    <x v="167"/>
    <x v="144"/>
    <n v="60"/>
    <n v="180653"/>
    <x v="3"/>
    <n v="3.01"/>
    <x v="0"/>
    <x v="1"/>
    <x v="1"/>
  </r>
  <r>
    <x v="168"/>
    <x v="10"/>
    <d v="2021-01-07T00:00:00"/>
    <n v="15"/>
    <n v="0.65069444444444446"/>
    <x v="135"/>
    <x v="15"/>
    <s v="0.00227"/>
    <n v="7.7083333333333337E-2"/>
    <n v="-10673"/>
    <n v="0.21388888888888891"/>
    <x v="168"/>
    <x v="42"/>
    <n v="64"/>
    <n v="304106"/>
    <x v="3"/>
    <n v="5.07"/>
    <x v="0"/>
    <x v="0"/>
    <x v="1"/>
  </r>
  <r>
    <x v="169"/>
    <x v="10"/>
    <d v="2021-01-07T00:00:00"/>
    <n v="16"/>
    <n v="0.53402777777777777"/>
    <x v="136"/>
    <x v="81"/>
    <s v="0.000106"/>
    <n v="8.1250000000000003E-2"/>
    <n v="-6524"/>
    <n v="0.19583333333333333"/>
    <x v="169"/>
    <x v="145"/>
    <n v="74"/>
    <n v="245026"/>
    <x v="3"/>
    <n v="4.08"/>
    <x v="1"/>
    <x v="1"/>
    <x v="0"/>
  </r>
  <r>
    <x v="170"/>
    <x v="10"/>
    <d v="2021-01-07T00:00:00"/>
    <n v="17"/>
    <n v="0.55625000000000002"/>
    <x v="137"/>
    <x v="12"/>
    <s v="1.39e-05"/>
    <d v="1899-12-30T00:09:00"/>
    <n v="-12426"/>
    <n v="0.27569444444444441"/>
    <x v="170"/>
    <x v="146"/>
    <n v="66"/>
    <n v="254640"/>
    <x v="3"/>
    <n v="4.24"/>
    <x v="0"/>
    <x v="0"/>
    <x v="1"/>
  </r>
  <r>
    <x v="154"/>
    <x v="11"/>
    <d v="2020-12-11T00:00:00"/>
    <n v="1"/>
    <n v="0.57847222222222217"/>
    <x v="127"/>
    <x v="141"/>
    <s v="0.00179"/>
    <n v="0.10069444444444443"/>
    <n v="-9195"/>
    <d v="1899-12-30T00:17:00"/>
    <x v="154"/>
    <x v="137"/>
    <n v="77"/>
    <n v="214706"/>
    <x v="4"/>
    <n v="3.58"/>
    <x v="0"/>
    <x v="0"/>
    <x v="0"/>
  </r>
  <r>
    <x v="155"/>
    <x v="11"/>
    <d v="2020-12-11T00:00:00"/>
    <n v="2"/>
    <n v="6.3888888888888898E-2"/>
    <x v="128"/>
    <x v="142"/>
    <d v="1899-12-30T00:00:00"/>
    <n v="7.8472222222222221E-2"/>
    <n v="-12077"/>
    <n v="0.26180555555555557"/>
    <x v="155"/>
    <x v="42"/>
    <n v="77"/>
    <n v="244000"/>
    <x v="4"/>
    <n v="4.07"/>
    <x v="0"/>
    <x v="0"/>
    <x v="0"/>
  </r>
  <r>
    <x v="156"/>
    <x v="11"/>
    <d v="2020-12-11T00:00:00"/>
    <n v="3"/>
    <n v="5.7638888888888885E-2"/>
    <x v="129"/>
    <x v="143"/>
    <n v="0.11527777777777777"/>
    <n v="8.4027777777777771E-2"/>
    <n v="-10491"/>
    <n v="0.28333333333333333"/>
    <x v="156"/>
    <x v="14"/>
    <n v="67"/>
    <n v="185320"/>
    <x v="4"/>
    <n v="3.09"/>
    <x v="0"/>
    <x v="0"/>
    <x v="1"/>
  </r>
  <r>
    <x v="157"/>
    <x v="11"/>
    <d v="2020-12-11T00:00:00"/>
    <n v="4"/>
    <n v="0.51041666666666663"/>
    <x v="130"/>
    <x v="144"/>
    <s v="6.59e-05"/>
    <n v="7.2916666666666671E-2"/>
    <n v="-8193"/>
    <n v="0.21666666666666667"/>
    <x v="157"/>
    <x v="138"/>
    <n v="65"/>
    <n v="229840"/>
    <x v="4"/>
    <n v="3.83"/>
    <x v="0"/>
    <x v="0"/>
    <x v="1"/>
  </r>
  <r>
    <x v="158"/>
    <x v="11"/>
    <d v="2020-12-11T00:00:00"/>
    <n v="5"/>
    <n v="0.60972222222222217"/>
    <x v="131"/>
    <x v="145"/>
    <s v="2.67e-05"/>
    <n v="0.55347222222222225"/>
    <n v="-10381"/>
    <n v="0.33888888888888885"/>
    <x v="158"/>
    <x v="139"/>
    <n v="72"/>
    <n v="245440"/>
    <x v="4"/>
    <n v="4.09"/>
    <x v="0"/>
    <x v="0"/>
    <x v="0"/>
  </r>
  <r>
    <x v="159"/>
    <x v="11"/>
    <d v="2020-12-11T00:00:00"/>
    <n v="6"/>
    <n v="0.2902777777777778"/>
    <x v="121"/>
    <x v="69"/>
    <d v="1899-12-30T00:00:00"/>
    <n v="7.1527777777777773E-2"/>
    <n v="-7589"/>
    <n v="0.18333333333333335"/>
    <x v="159"/>
    <x v="24"/>
    <n v="66"/>
    <n v="215626"/>
    <x v="4"/>
    <n v="3.59"/>
    <x v="0"/>
    <x v="1"/>
    <x v="1"/>
  </r>
  <r>
    <x v="160"/>
    <x v="11"/>
    <d v="2020-12-11T00:00:00"/>
    <n v="7"/>
    <n v="6.0416666666666667E-2"/>
    <x v="113"/>
    <x v="146"/>
    <d v="1899-12-30T00:00:00"/>
    <n v="7.9166666666666663E-2"/>
    <n v="-10733"/>
    <n v="0.26111111111111113"/>
    <x v="160"/>
    <x v="140"/>
    <n v="64"/>
    <n v="315146"/>
    <x v="4"/>
    <n v="5.25"/>
    <x v="0"/>
    <x v="0"/>
    <x v="1"/>
  </r>
  <r>
    <x v="161"/>
    <x v="11"/>
    <d v="2020-12-11T00:00:00"/>
    <n v="8"/>
    <n v="0.48333333333333334"/>
    <x v="50"/>
    <x v="118"/>
    <d v="1899-12-30T00:00:00"/>
    <n v="8.9583333333333334E-2"/>
    <n v="-8322"/>
    <n v="0.18333333333333335"/>
    <x v="161"/>
    <x v="141"/>
    <n v="62"/>
    <n v="225880"/>
    <x v="4"/>
    <n v="3.76"/>
    <x v="0"/>
    <x v="0"/>
    <x v="1"/>
  </r>
  <r>
    <x v="162"/>
    <x v="11"/>
    <d v="2020-12-11T00:00:00"/>
    <n v="9"/>
    <n v="0.56874999999999998"/>
    <x v="63"/>
    <x v="147"/>
    <s v="0.000904"/>
    <n v="9.8611111111111108E-2"/>
    <n v="-11266"/>
    <n v="0.4284722222222222"/>
    <x v="162"/>
    <x v="1"/>
    <n v="61"/>
    <n v="275320"/>
    <x v="4"/>
    <n v="4.59"/>
    <x v="0"/>
    <x v="0"/>
    <x v="1"/>
  </r>
  <r>
    <x v="163"/>
    <x v="11"/>
    <d v="2020-12-11T00:00:00"/>
    <n v="10"/>
    <n v="0.59375"/>
    <x v="132"/>
    <x v="148"/>
    <s v="1.97e-05"/>
    <n v="0.63958333333333328"/>
    <n v="-9277"/>
    <n v="0.24513888888888891"/>
    <x v="163"/>
    <x v="24"/>
    <n v="66"/>
    <n v="260440"/>
    <x v="4"/>
    <n v="4.34"/>
    <x v="0"/>
    <x v="0"/>
    <x v="1"/>
  </r>
  <r>
    <x v="164"/>
    <x v="11"/>
    <d v="2020-12-11T00:00:00"/>
    <n v="11"/>
    <n v="0.53333333333333333"/>
    <x v="1"/>
    <x v="122"/>
    <s v="0.000155"/>
    <n v="8.5416666666666655E-2"/>
    <n v="-9014"/>
    <n v="0.24097222222222223"/>
    <x v="164"/>
    <x v="96"/>
    <n v="65"/>
    <n v="275040"/>
    <x v="4"/>
    <n v="4.58"/>
    <x v="0"/>
    <x v="0"/>
    <x v="1"/>
  </r>
  <r>
    <x v="165"/>
    <x v="11"/>
    <d v="2020-12-11T00:00:00"/>
    <n v="12"/>
    <n v="4.5833333333333337E-2"/>
    <x v="121"/>
    <x v="149"/>
    <n v="0.12430555555555556"/>
    <n v="0.67499999999999993"/>
    <n v="-7704"/>
    <n v="0.28958333333333336"/>
    <x v="165"/>
    <x v="142"/>
    <n v="62"/>
    <n v="215920"/>
    <x v="4"/>
    <n v="3.6"/>
    <x v="0"/>
    <x v="0"/>
    <x v="1"/>
  </r>
  <r>
    <x v="166"/>
    <x v="11"/>
    <d v="2020-12-11T00:00:00"/>
    <n v="13"/>
    <n v="0.60833333333333328"/>
    <x v="133"/>
    <x v="150"/>
    <s v="0.000136"/>
    <n v="7.9861111111111119E-2"/>
    <n v="-11609"/>
    <n v="0.33611111111111108"/>
    <x v="166"/>
    <x v="143"/>
    <n v="70"/>
    <n v="257773"/>
    <x v="4"/>
    <n v="4.3"/>
    <x v="0"/>
    <x v="0"/>
    <x v="1"/>
  </r>
  <r>
    <x v="167"/>
    <x v="11"/>
    <d v="2020-12-11T00:00:00"/>
    <n v="14"/>
    <n v="0.57986111111111105"/>
    <x v="134"/>
    <x v="151"/>
    <s v="4.83e-06"/>
    <n v="9.3055555555555558E-2"/>
    <n v="-10813"/>
    <n v="0.17013888888888887"/>
    <x v="167"/>
    <x v="144"/>
    <n v="59"/>
    <n v="180653"/>
    <x v="4"/>
    <n v="3.01"/>
    <x v="0"/>
    <x v="1"/>
    <x v="1"/>
  </r>
  <r>
    <x v="168"/>
    <x v="11"/>
    <d v="2020-12-11T00:00:00"/>
    <n v="15"/>
    <n v="0.65069444444444446"/>
    <x v="135"/>
    <x v="15"/>
    <s v="0.00227"/>
    <n v="7.7083333333333337E-2"/>
    <n v="-10673"/>
    <n v="0.21388888888888891"/>
    <x v="168"/>
    <x v="42"/>
    <n v="63"/>
    <n v="304106"/>
    <x v="4"/>
    <n v="5.07"/>
    <x v="0"/>
    <x v="0"/>
    <x v="1"/>
  </r>
  <r>
    <x v="171"/>
    <x v="12"/>
    <d v="2020-11-25T00:00:00"/>
    <n v="1"/>
    <n v="5.2083333333333336E-2"/>
    <x v="138"/>
    <x v="145"/>
    <s v="7.14e-06"/>
    <n v="7.4999999999999997E-2"/>
    <n v="-6942"/>
    <s v="0.048"/>
    <x v="171"/>
    <x v="147"/>
    <n v="48"/>
    <n v="210240"/>
    <x v="4"/>
    <n v="3.5"/>
    <x v="0"/>
    <x v="0"/>
    <x v="1"/>
  </r>
  <r>
    <x v="172"/>
    <x v="12"/>
    <d v="2020-11-25T00:00:00"/>
    <n v="2"/>
    <n v="0.36458333333333331"/>
    <x v="139"/>
    <x v="152"/>
    <s v="0.000414"/>
    <d v="1899-12-30T00:26:00"/>
    <n v="-8572"/>
    <n v="0.29097222222222224"/>
    <x v="172"/>
    <x v="148"/>
    <n v="49"/>
    <n v="239560"/>
    <x v="4"/>
    <n v="3.99"/>
    <x v="0"/>
    <x v="0"/>
    <x v="1"/>
  </r>
  <r>
    <x v="173"/>
    <x v="12"/>
    <d v="2020-11-25T00:00:00"/>
    <n v="3"/>
    <n v="0.33402777777777781"/>
    <x v="140"/>
    <x v="153"/>
    <s v="0.00414"/>
    <n v="7.3611111111111113E-2"/>
    <n v="-8558"/>
    <n v="0.27986111111111112"/>
    <x v="173"/>
    <x v="149"/>
    <n v="47"/>
    <n v="231000"/>
    <x v="4"/>
    <n v="3.85"/>
    <x v="1"/>
    <x v="1"/>
    <x v="1"/>
  </r>
  <r>
    <x v="174"/>
    <x v="12"/>
    <d v="2020-11-25T00:00:00"/>
    <n v="4"/>
    <n v="0.52847222222222223"/>
    <x v="141"/>
    <x v="154"/>
    <s v="2.46e-05"/>
    <d v="1899-12-30T00:11:00"/>
    <n v="-8464"/>
    <n v="0.19097222222222221"/>
    <x v="174"/>
    <x v="150"/>
    <n v="48"/>
    <n v="285640"/>
    <x v="4"/>
    <n v="4.76"/>
    <x v="0"/>
    <x v="0"/>
    <x v="1"/>
  </r>
  <r>
    <x v="175"/>
    <x v="12"/>
    <d v="2020-11-25T00:00:00"/>
    <n v="5"/>
    <n v="0.56527777777777777"/>
    <x v="142"/>
    <x v="155"/>
    <d v="1899-12-30T00:00:00"/>
    <n v="0.47152777777777777"/>
    <n v="-10663"/>
    <n v="0.22777777777777777"/>
    <x v="175"/>
    <x v="151"/>
    <n v="48"/>
    <n v="255893"/>
    <x v="4"/>
    <n v="4.26"/>
    <x v="0"/>
    <x v="0"/>
    <x v="1"/>
  </r>
  <r>
    <x v="176"/>
    <x v="12"/>
    <d v="2020-11-25T00:00:00"/>
    <n v="6"/>
    <n v="0.47638888888888892"/>
    <x v="143"/>
    <x v="156"/>
    <s v="1.9e-06"/>
    <n v="0.41944444444444445"/>
    <n v="-10064"/>
    <s v="0.035"/>
    <x v="176"/>
    <x v="36"/>
    <n v="46"/>
    <n v="208973"/>
    <x v="4"/>
    <n v="3.48"/>
    <x v="0"/>
    <x v="0"/>
    <x v="1"/>
  </r>
  <r>
    <x v="177"/>
    <x v="12"/>
    <d v="2020-11-25T00:00:00"/>
    <n v="7"/>
    <n v="0.6166666666666667"/>
    <x v="144"/>
    <x v="39"/>
    <s v="2.59e-05"/>
    <n v="0.62638888888888888"/>
    <n v="-10813"/>
    <n v="0.19236111111111109"/>
    <x v="177"/>
    <x v="152"/>
    <n v="45"/>
    <n v="208906"/>
    <x v="4"/>
    <n v="3.48"/>
    <x v="0"/>
    <x v="0"/>
    <x v="1"/>
  </r>
  <r>
    <x v="178"/>
    <x v="12"/>
    <d v="2020-11-25T00:00:00"/>
    <n v="8"/>
    <n v="0.3840277777777778"/>
    <x v="42"/>
    <x v="157"/>
    <s v="6.93e-05"/>
    <n v="0.64652777777777781"/>
    <n v="-9222"/>
    <n v="0.25208333333333333"/>
    <x v="178"/>
    <x v="153"/>
    <n v="48"/>
    <n v="261920"/>
    <x v="4"/>
    <n v="4.37"/>
    <x v="0"/>
    <x v="1"/>
    <x v="1"/>
  </r>
  <r>
    <x v="179"/>
    <x v="12"/>
    <d v="2020-11-25T00:00:00"/>
    <n v="9"/>
    <n v="0.21666666666666667"/>
    <x v="92"/>
    <x v="158"/>
    <s v="2.3e-05"/>
    <n v="0.10208333333333335"/>
    <n v="-9837"/>
    <n v="0.22361111111111109"/>
    <x v="179"/>
    <x v="89"/>
    <n v="47"/>
    <n v="195106"/>
    <x v="4"/>
    <n v="3.25"/>
    <x v="0"/>
    <x v="0"/>
    <x v="1"/>
  </r>
  <r>
    <x v="180"/>
    <x v="12"/>
    <d v="2020-11-25T00:00:00"/>
    <n v="10"/>
    <n v="0.59861111111111109"/>
    <x v="145"/>
    <x v="159"/>
    <d v="1899-12-30T00:00:00"/>
    <n v="7.4999999999999997E-2"/>
    <n v="-10567"/>
    <n v="0.24722222222222223"/>
    <x v="180"/>
    <x v="131"/>
    <n v="46"/>
    <n v="190893"/>
    <x v="4"/>
    <n v="3.18"/>
    <x v="0"/>
    <x v="0"/>
    <x v="1"/>
  </r>
  <r>
    <x v="181"/>
    <x v="12"/>
    <d v="2020-11-25T00:00:00"/>
    <n v="11"/>
    <n v="0.59652777777777777"/>
    <x v="146"/>
    <x v="160"/>
    <s v="6.63e-05"/>
    <n v="7.2916666666666671E-2"/>
    <n v="-11128"/>
    <n v="0.3520833333333333"/>
    <x v="181"/>
    <x v="154"/>
    <n v="46"/>
    <n v="252880"/>
    <x v="4"/>
    <n v="4.21"/>
    <x v="0"/>
    <x v="0"/>
    <x v="1"/>
  </r>
  <r>
    <x v="182"/>
    <x v="12"/>
    <d v="2020-11-25T00:00:00"/>
    <n v="12"/>
    <n v="4.6527777777777779E-2"/>
    <x v="147"/>
    <x v="54"/>
    <s v="6.77e-06"/>
    <n v="8.0555555555555561E-2"/>
    <n v="-9016"/>
    <n v="0.34166666666666662"/>
    <x v="182"/>
    <x v="155"/>
    <n v="44"/>
    <n v="237266"/>
    <x v="4"/>
    <n v="3.95"/>
    <x v="0"/>
    <x v="0"/>
    <x v="1"/>
  </r>
  <r>
    <x v="183"/>
    <x v="12"/>
    <d v="2020-11-25T00:00:00"/>
    <n v="13"/>
    <n v="0.50486111111111109"/>
    <x v="148"/>
    <x v="161"/>
    <s v="0.000326"/>
    <n v="0.6020833333333333"/>
    <n v="-13679"/>
    <n v="0.1986111111111111"/>
    <x v="183"/>
    <x v="156"/>
    <n v="43"/>
    <n v="289746"/>
    <x v="4"/>
    <n v="4.83"/>
    <x v="0"/>
    <x v="0"/>
    <x v="1"/>
  </r>
  <r>
    <x v="184"/>
    <x v="12"/>
    <d v="2020-11-25T00:00:00"/>
    <n v="14"/>
    <n v="0.40902777777777777"/>
    <x v="149"/>
    <x v="26"/>
    <d v="1899-12-30T00:00:00"/>
    <n v="0.68680555555555556"/>
    <n v="-8767"/>
    <n v="0.17777777777777778"/>
    <x v="184"/>
    <x v="157"/>
    <n v="45"/>
    <n v="294520"/>
    <x v="4"/>
    <n v="4.91"/>
    <x v="0"/>
    <x v="0"/>
    <x v="1"/>
  </r>
  <r>
    <x v="185"/>
    <x v="12"/>
    <d v="2020-11-25T00:00:00"/>
    <n v="15"/>
    <n v="0.63611111111111118"/>
    <x v="150"/>
    <x v="162"/>
    <s v="1.5e-05"/>
    <n v="0.63124999999999998"/>
    <n v="-12879"/>
    <n v="0.57013888888888886"/>
    <x v="185"/>
    <x v="88"/>
    <n v="43"/>
    <n v="234000"/>
    <x v="4"/>
    <n v="3.9"/>
    <x v="0"/>
    <x v="0"/>
    <x v="1"/>
  </r>
  <r>
    <x v="186"/>
    <x v="12"/>
    <d v="2020-11-25T00:00:00"/>
    <n v="16"/>
    <n v="0.6694444444444444"/>
    <x v="151"/>
    <x v="163"/>
    <s v="7.9e-06"/>
    <n v="9.375E-2"/>
    <s v="-15.01"/>
    <n v="0.27361111111111108"/>
    <x v="186"/>
    <x v="158"/>
    <n v="43"/>
    <n v="220040"/>
    <x v="4"/>
    <n v="3.67"/>
    <x v="0"/>
    <x v="0"/>
    <x v="1"/>
  </r>
  <r>
    <x v="187"/>
    <x v="12"/>
    <d v="2020-11-25T00:00:00"/>
    <n v="17"/>
    <n v="0.58472222222222225"/>
    <x v="152"/>
    <x v="164"/>
    <s v="1.3e-06"/>
    <n v="0.65833333333333333"/>
    <n v="-11532"/>
    <n v="0.26597222222222222"/>
    <x v="187"/>
    <x v="159"/>
    <n v="45"/>
    <n v="211813"/>
    <x v="4"/>
    <n v="3.53"/>
    <x v="0"/>
    <x v="0"/>
    <x v="1"/>
  </r>
  <r>
    <x v="188"/>
    <x v="12"/>
    <d v="2020-11-25T00:00:00"/>
    <n v="1"/>
    <n v="0.62361111111111112"/>
    <x v="153"/>
    <x v="165"/>
    <s v="0.026"/>
    <n v="7.0833333333333331E-2"/>
    <n v="-10731"/>
    <n v="0.25069444444444444"/>
    <x v="188"/>
    <x v="160"/>
    <n v="54"/>
    <n v="219893"/>
    <x v="4"/>
    <n v="3.66"/>
    <x v="0"/>
    <x v="0"/>
    <x v="1"/>
  </r>
  <r>
    <x v="189"/>
    <x v="12"/>
    <d v="2020-11-25T00:00:00"/>
    <n v="2"/>
    <n v="6.1111111111111109E-2"/>
    <x v="154"/>
    <x v="166"/>
    <d v="1899-12-30T00:00:00"/>
    <n v="7.4305555555555555E-2"/>
    <n v="-9704"/>
    <n v="0.26527777777777778"/>
    <x v="189"/>
    <x v="161"/>
    <n v="54"/>
    <n v="230680"/>
    <x v="4"/>
    <n v="3.84"/>
    <x v="0"/>
    <x v="0"/>
    <x v="1"/>
  </r>
  <r>
    <x v="190"/>
    <x v="12"/>
    <d v="2020-11-25T00:00:00"/>
    <n v="3"/>
    <n v="0.51597222222222217"/>
    <x v="13"/>
    <x v="167"/>
    <s v="0.004"/>
    <n v="0.39861111111111108"/>
    <n v="-11715"/>
    <n v="0.26319444444444445"/>
    <x v="190"/>
    <x v="162"/>
    <n v="51"/>
    <n v="232346"/>
    <x v="4"/>
    <n v="3.87"/>
    <x v="1"/>
    <x v="1"/>
    <x v="1"/>
  </r>
  <r>
    <x v="191"/>
    <x v="12"/>
    <d v="2020-11-25T00:00:00"/>
    <n v="4"/>
    <n v="0.58888888888888891"/>
    <x v="155"/>
    <x v="168"/>
    <s v="6.74e-05"/>
    <n v="7.7083333333333337E-2"/>
    <n v="-10295"/>
    <n v="0.21249999999999999"/>
    <x v="191"/>
    <x v="163"/>
    <n v="53"/>
    <n v="279893"/>
    <x v="4"/>
    <n v="4.66"/>
    <x v="0"/>
    <x v="0"/>
    <x v="1"/>
  </r>
  <r>
    <x v="192"/>
    <x v="12"/>
    <d v="2020-11-25T00:00:00"/>
    <n v="5"/>
    <n v="0.65694444444444444"/>
    <x v="156"/>
    <x v="169"/>
    <s v="1.01e-05"/>
    <n v="0.42708333333333331"/>
    <s v="-12.34"/>
    <n v="0.24374999999999999"/>
    <x v="192"/>
    <x v="3"/>
    <n v="55"/>
    <n v="295173"/>
    <x v="4"/>
    <n v="4.92"/>
    <x v="0"/>
    <x v="0"/>
    <x v="1"/>
  </r>
  <r>
    <x v="193"/>
    <x v="12"/>
    <d v="2020-11-25T00:00:00"/>
    <n v="6"/>
    <n v="5.4166666666666669E-2"/>
    <x v="29"/>
    <x v="0"/>
    <s v="3.45e-05"/>
    <n v="8.1944444444444445E-2"/>
    <n v="-8434"/>
    <n v="0.18888888888888888"/>
    <x v="193"/>
    <x v="164"/>
    <n v="53"/>
    <n v="237373"/>
    <x v="4"/>
    <n v="3.96"/>
    <x v="0"/>
    <x v="0"/>
    <x v="1"/>
  </r>
  <r>
    <x v="194"/>
    <x v="12"/>
    <d v="2020-11-25T00:00:00"/>
    <n v="7"/>
    <n v="0.63472222222222219"/>
    <x v="157"/>
    <x v="71"/>
    <s v="0.000126"/>
    <d v="1899-12-30T00:01:00"/>
    <s v="-11.49"/>
    <n v="0.20902777777777778"/>
    <x v="194"/>
    <x v="165"/>
    <n v="51"/>
    <n v="208986"/>
    <x v="4"/>
    <n v="3.48"/>
    <x v="0"/>
    <x v="0"/>
    <x v="1"/>
  </r>
  <r>
    <x v="195"/>
    <x v="12"/>
    <d v="2020-11-25T00:00:00"/>
    <n v="8"/>
    <d v="1899-12-30T00:05:00"/>
    <x v="43"/>
    <x v="37"/>
    <s v="4.77e-05"/>
    <n v="0.5493055555555556"/>
    <n v="-8961"/>
    <n v="0.22500000000000001"/>
    <x v="195"/>
    <x v="166"/>
    <n v="54"/>
    <n v="260000"/>
    <x v="4"/>
    <n v="4.33"/>
    <x v="0"/>
    <x v="1"/>
    <x v="1"/>
  </r>
  <r>
    <x v="196"/>
    <x v="12"/>
    <d v="2020-11-25T00:00:00"/>
    <n v="9"/>
    <n v="0.64444444444444449"/>
    <x v="158"/>
    <x v="170"/>
    <s v="0.000898"/>
    <n v="0.6020833333333333"/>
    <n v="-11611"/>
    <s v="0.031"/>
    <x v="196"/>
    <x v="167"/>
    <n v="54"/>
    <n v="209293"/>
    <x v="4"/>
    <n v="3.49"/>
    <x v="0"/>
    <x v="0"/>
    <x v="1"/>
  </r>
  <r>
    <x v="197"/>
    <x v="12"/>
    <d v="2020-11-25T00:00:00"/>
    <n v="10"/>
    <n v="0.61319444444444449"/>
    <x v="159"/>
    <x v="171"/>
    <d v="1899-12-30T00:00:00"/>
    <n v="7.8472222222222221E-2"/>
    <n v="-10274"/>
    <n v="0.24722222222222223"/>
    <x v="197"/>
    <x v="168"/>
    <n v="53"/>
    <n v="183720"/>
    <x v="4"/>
    <n v="3.06"/>
    <x v="0"/>
    <x v="0"/>
    <x v="1"/>
  </r>
  <r>
    <x v="198"/>
    <x v="12"/>
    <d v="2020-11-25T00:00:00"/>
    <n v="11"/>
    <n v="0.65416666666666667"/>
    <x v="160"/>
    <x v="172"/>
    <s v="4.85e-06"/>
    <d v="1899-12-30T00:11:00"/>
    <n v="-10542"/>
    <n v="0.19513888888888889"/>
    <x v="198"/>
    <x v="68"/>
    <n v="51"/>
    <n v="257359"/>
    <x v="4"/>
    <n v="4.29"/>
    <x v="0"/>
    <x v="0"/>
    <x v="1"/>
  </r>
  <r>
    <x v="199"/>
    <x v="12"/>
    <d v="2020-11-25T00:00:00"/>
    <n v="12"/>
    <n v="0.61597222222222225"/>
    <x v="71"/>
    <x v="173"/>
    <s v="0.000168"/>
    <n v="7.5694444444444439E-2"/>
    <n v="-10463"/>
    <n v="0.28333333333333333"/>
    <x v="199"/>
    <x v="169"/>
    <n v="50"/>
    <n v="238333"/>
    <x v="4"/>
    <n v="3.97"/>
    <x v="0"/>
    <x v="0"/>
    <x v="1"/>
  </r>
  <r>
    <x v="200"/>
    <x v="12"/>
    <d v="2020-11-25T00:00:00"/>
    <n v="13"/>
    <n v="0.63611111111111118"/>
    <x v="58"/>
    <x v="174"/>
    <s v="0.000392"/>
    <s v="0.068"/>
    <n v="-13004"/>
    <n v="0.19027777777777777"/>
    <x v="200"/>
    <x v="170"/>
    <n v="49"/>
    <n v="274880"/>
    <x v="4"/>
    <n v="4.58"/>
    <x v="0"/>
    <x v="0"/>
    <x v="1"/>
  </r>
  <r>
    <x v="201"/>
    <x v="12"/>
    <d v="2020-11-25T00:00:00"/>
    <n v="14"/>
    <n v="0.58402777777777781"/>
    <x v="161"/>
    <x v="175"/>
    <d v="1899-12-30T00:00:00"/>
    <n v="8.2638888888888887E-2"/>
    <s v="-9.5"/>
    <n v="0.2076388888888889"/>
    <x v="201"/>
    <x v="171"/>
    <n v="51"/>
    <n v="290040"/>
    <x v="4"/>
    <n v="4.83"/>
    <x v="0"/>
    <x v="0"/>
    <x v="1"/>
  </r>
  <r>
    <x v="202"/>
    <x v="12"/>
    <d v="2020-11-25T00:00:00"/>
    <n v="15"/>
    <n v="6.458333333333334E-2"/>
    <x v="162"/>
    <x v="176"/>
    <s v="7.61e-05"/>
    <n v="0.50972222222222219"/>
    <n v="-11472"/>
    <n v="0.44930555555555557"/>
    <x v="202"/>
    <x v="172"/>
    <n v="50"/>
    <n v="214373"/>
    <x v="4"/>
    <n v="3.57"/>
    <x v="0"/>
    <x v="0"/>
    <x v="1"/>
  </r>
  <r>
    <x v="203"/>
    <x v="12"/>
    <d v="2020-11-25T00:00:00"/>
    <n v="16"/>
    <n v="0.66805555555555562"/>
    <x v="163"/>
    <x v="177"/>
    <d v="1899-12-30T00:00:00"/>
    <d v="1899-12-30T00:18:00"/>
    <n v="-13083"/>
    <n v="0.27361111111111108"/>
    <x v="203"/>
    <x v="173"/>
    <n v="51"/>
    <n v="221800"/>
    <x v="4"/>
    <n v="3.7"/>
    <x v="0"/>
    <x v="0"/>
    <x v="1"/>
  </r>
  <r>
    <x v="204"/>
    <x v="12"/>
    <d v="2020-11-25T00:00:00"/>
    <n v="17"/>
    <n v="0.55138888888888882"/>
    <x v="9"/>
    <x v="178"/>
    <d v="1899-12-30T00:00:00"/>
    <n v="0.6166666666666667"/>
    <n v="-11767"/>
    <n v="0.32500000000000001"/>
    <x v="204"/>
    <x v="151"/>
    <n v="53"/>
    <n v="199733"/>
    <x v="4"/>
    <n v="3.33"/>
    <x v="0"/>
    <x v="0"/>
    <x v="1"/>
  </r>
  <r>
    <x v="171"/>
    <x v="13"/>
    <d v="2020-08-18T00:00:00"/>
    <n v="1"/>
    <n v="5.2083333333333336E-2"/>
    <x v="138"/>
    <x v="145"/>
    <s v="7.14e-06"/>
    <n v="7.4999999999999997E-2"/>
    <n v="-6942"/>
    <s v="0.048"/>
    <x v="171"/>
    <x v="147"/>
    <n v="68"/>
    <n v="210240"/>
    <x v="4"/>
    <n v="3.5"/>
    <x v="0"/>
    <x v="0"/>
    <x v="1"/>
  </r>
  <r>
    <x v="172"/>
    <x v="13"/>
    <d v="2020-08-18T00:00:00"/>
    <n v="2"/>
    <n v="0.36458333333333331"/>
    <x v="139"/>
    <x v="152"/>
    <s v="0.000414"/>
    <d v="1899-12-30T00:26:00"/>
    <n v="-8572"/>
    <n v="0.29097222222222224"/>
    <x v="172"/>
    <x v="148"/>
    <n v="68"/>
    <n v="239560"/>
    <x v="4"/>
    <n v="3.99"/>
    <x v="0"/>
    <x v="0"/>
    <x v="1"/>
  </r>
  <r>
    <x v="173"/>
    <x v="13"/>
    <d v="2020-08-18T00:00:00"/>
    <n v="3"/>
    <n v="0.33402777777777781"/>
    <x v="140"/>
    <x v="153"/>
    <s v="0.00414"/>
    <n v="7.3611111111111113E-2"/>
    <n v="-8558"/>
    <n v="0.27986111111111112"/>
    <x v="173"/>
    <x v="149"/>
    <n v="66"/>
    <n v="231000"/>
    <x v="4"/>
    <n v="3.85"/>
    <x v="1"/>
    <x v="1"/>
    <x v="1"/>
  </r>
  <r>
    <x v="174"/>
    <x v="13"/>
    <d v="2020-08-18T00:00:00"/>
    <n v="4"/>
    <n v="0.52847222222222223"/>
    <x v="141"/>
    <x v="154"/>
    <s v="2.46e-05"/>
    <d v="1899-12-30T00:11:00"/>
    <n v="-8464"/>
    <n v="0.19097222222222221"/>
    <x v="174"/>
    <x v="150"/>
    <n v="68"/>
    <n v="285640"/>
    <x v="4"/>
    <n v="4.76"/>
    <x v="0"/>
    <x v="0"/>
    <x v="1"/>
  </r>
  <r>
    <x v="175"/>
    <x v="13"/>
    <d v="2020-08-18T00:00:00"/>
    <n v="5"/>
    <n v="0.56527777777777777"/>
    <x v="142"/>
    <x v="155"/>
    <d v="1899-12-30T00:00:00"/>
    <n v="0.47152777777777777"/>
    <n v="-10663"/>
    <n v="0.22777777777777777"/>
    <x v="175"/>
    <x v="151"/>
    <n v="68"/>
    <n v="255893"/>
    <x v="4"/>
    <n v="4.26"/>
    <x v="0"/>
    <x v="0"/>
    <x v="1"/>
  </r>
  <r>
    <x v="176"/>
    <x v="13"/>
    <d v="2020-08-18T00:00:00"/>
    <n v="6"/>
    <n v="0.47638888888888892"/>
    <x v="143"/>
    <x v="156"/>
    <s v="1.9e-06"/>
    <n v="0.41944444444444445"/>
    <n v="-10064"/>
    <s v="0.035"/>
    <x v="176"/>
    <x v="36"/>
    <n v="66"/>
    <n v="208973"/>
    <x v="4"/>
    <n v="3.48"/>
    <x v="0"/>
    <x v="0"/>
    <x v="1"/>
  </r>
  <r>
    <x v="177"/>
    <x v="13"/>
    <d v="2020-08-18T00:00:00"/>
    <n v="7"/>
    <n v="0.6166666666666667"/>
    <x v="144"/>
    <x v="39"/>
    <s v="2.59e-05"/>
    <n v="0.62638888888888888"/>
    <n v="-10813"/>
    <n v="0.19236111111111109"/>
    <x v="177"/>
    <x v="152"/>
    <n v="66"/>
    <n v="208906"/>
    <x v="4"/>
    <n v="3.48"/>
    <x v="0"/>
    <x v="0"/>
    <x v="1"/>
  </r>
  <r>
    <x v="178"/>
    <x v="13"/>
    <d v="2020-08-18T00:00:00"/>
    <n v="8"/>
    <n v="0.3840277777777778"/>
    <x v="42"/>
    <x v="157"/>
    <s v="6.93e-05"/>
    <n v="0.64652777777777781"/>
    <n v="-9222"/>
    <n v="0.25208333333333333"/>
    <x v="178"/>
    <x v="153"/>
    <n v="68"/>
    <n v="261920"/>
    <x v="4"/>
    <n v="4.37"/>
    <x v="0"/>
    <x v="1"/>
    <x v="1"/>
  </r>
  <r>
    <x v="179"/>
    <x v="13"/>
    <d v="2020-08-18T00:00:00"/>
    <n v="9"/>
    <n v="0.21666666666666667"/>
    <x v="92"/>
    <x v="158"/>
    <s v="2.3e-05"/>
    <n v="0.10208333333333335"/>
    <n v="-9837"/>
    <n v="0.22361111111111109"/>
    <x v="179"/>
    <x v="89"/>
    <n v="66"/>
    <n v="195106"/>
    <x v="4"/>
    <n v="3.25"/>
    <x v="0"/>
    <x v="0"/>
    <x v="1"/>
  </r>
  <r>
    <x v="180"/>
    <x v="13"/>
    <d v="2020-08-18T00:00:00"/>
    <n v="10"/>
    <n v="0.59861111111111109"/>
    <x v="145"/>
    <x v="159"/>
    <d v="1899-12-30T00:00:00"/>
    <n v="7.4999999999999997E-2"/>
    <n v="-10567"/>
    <n v="0.24722222222222223"/>
    <x v="180"/>
    <x v="131"/>
    <n v="66"/>
    <n v="190893"/>
    <x v="4"/>
    <n v="3.18"/>
    <x v="0"/>
    <x v="0"/>
    <x v="1"/>
  </r>
  <r>
    <x v="181"/>
    <x v="13"/>
    <d v="2020-08-18T00:00:00"/>
    <n v="11"/>
    <n v="0.59652777777777777"/>
    <x v="146"/>
    <x v="160"/>
    <s v="6.63e-05"/>
    <n v="7.2916666666666671E-2"/>
    <n v="-11128"/>
    <n v="0.3520833333333333"/>
    <x v="181"/>
    <x v="154"/>
    <n v="66"/>
    <n v="252880"/>
    <x v="4"/>
    <n v="4.21"/>
    <x v="0"/>
    <x v="0"/>
    <x v="1"/>
  </r>
  <r>
    <x v="182"/>
    <x v="13"/>
    <d v="2020-08-18T00:00:00"/>
    <n v="12"/>
    <n v="4.6527777777777779E-2"/>
    <x v="147"/>
    <x v="54"/>
    <s v="6.77e-06"/>
    <n v="8.0555555555555561E-2"/>
    <n v="-9016"/>
    <n v="0.34166666666666662"/>
    <x v="182"/>
    <x v="155"/>
    <n v="64"/>
    <n v="237266"/>
    <x v="4"/>
    <n v="3.95"/>
    <x v="0"/>
    <x v="0"/>
    <x v="1"/>
  </r>
  <r>
    <x v="183"/>
    <x v="13"/>
    <d v="2020-08-18T00:00:00"/>
    <n v="13"/>
    <n v="0.50486111111111109"/>
    <x v="148"/>
    <x v="161"/>
    <s v="0.000326"/>
    <n v="0.6020833333333333"/>
    <n v="-13679"/>
    <n v="0.1986111111111111"/>
    <x v="183"/>
    <x v="156"/>
    <n v="63"/>
    <n v="289746"/>
    <x v="4"/>
    <n v="4.83"/>
    <x v="0"/>
    <x v="0"/>
    <x v="1"/>
  </r>
  <r>
    <x v="184"/>
    <x v="13"/>
    <d v="2020-08-18T00:00:00"/>
    <n v="14"/>
    <n v="0.40902777777777777"/>
    <x v="149"/>
    <x v="26"/>
    <d v="1899-12-30T00:00:00"/>
    <n v="0.68680555555555556"/>
    <n v="-8767"/>
    <n v="0.17777777777777778"/>
    <x v="184"/>
    <x v="157"/>
    <n v="65"/>
    <n v="294520"/>
    <x v="4"/>
    <n v="4.91"/>
    <x v="0"/>
    <x v="0"/>
    <x v="1"/>
  </r>
  <r>
    <x v="185"/>
    <x v="13"/>
    <d v="2020-08-18T00:00:00"/>
    <n v="15"/>
    <n v="0.63611111111111118"/>
    <x v="150"/>
    <x v="162"/>
    <s v="1.5e-05"/>
    <n v="0.63124999999999998"/>
    <n v="-12879"/>
    <n v="0.57013888888888886"/>
    <x v="185"/>
    <x v="88"/>
    <n v="63"/>
    <n v="234000"/>
    <x v="4"/>
    <n v="3.9"/>
    <x v="0"/>
    <x v="0"/>
    <x v="1"/>
  </r>
  <r>
    <x v="186"/>
    <x v="13"/>
    <d v="2020-08-18T00:00:00"/>
    <n v="16"/>
    <n v="0.6694444444444444"/>
    <x v="151"/>
    <x v="163"/>
    <s v="7.9e-06"/>
    <n v="9.375E-2"/>
    <s v="-15.01"/>
    <n v="0.27361111111111108"/>
    <x v="186"/>
    <x v="158"/>
    <n v="63"/>
    <n v="220040"/>
    <x v="4"/>
    <n v="3.67"/>
    <x v="0"/>
    <x v="0"/>
    <x v="1"/>
  </r>
  <r>
    <x v="187"/>
    <x v="13"/>
    <d v="2020-08-18T00:00:00"/>
    <n v="17"/>
    <n v="0.58472222222222225"/>
    <x v="152"/>
    <x v="164"/>
    <s v="1.3e-06"/>
    <n v="0.65833333333333333"/>
    <n v="-11532"/>
    <n v="0.26597222222222222"/>
    <x v="187"/>
    <x v="159"/>
    <n v="67"/>
    <n v="211813"/>
    <x v="4"/>
    <n v="3.53"/>
    <x v="0"/>
    <x v="0"/>
    <x v="1"/>
  </r>
  <r>
    <x v="171"/>
    <x v="14"/>
    <d v="2020-07-24T00:00:00"/>
    <n v="1"/>
    <n v="0.52569444444444446"/>
    <x v="164"/>
    <x v="179"/>
    <s v="7.28e-06"/>
    <n v="7.4999999999999997E-2"/>
    <n v="-6942"/>
    <n v="0.36249999999999999"/>
    <x v="205"/>
    <x v="174"/>
    <n v="74"/>
    <n v="210251"/>
    <x v="4"/>
    <n v="3.5"/>
    <x v="0"/>
    <x v="0"/>
    <x v="0"/>
  </r>
  <r>
    <x v="172"/>
    <x v="14"/>
    <d v="2020-07-24T00:00:00"/>
    <n v="2"/>
    <n v="0.37291666666666662"/>
    <x v="165"/>
    <x v="180"/>
    <s v="0.000345"/>
    <d v="1899-12-30T00:25:00"/>
    <n v="-8588"/>
    <n v="0.29444444444444445"/>
    <x v="133"/>
    <x v="175"/>
    <n v="84"/>
    <n v="239560"/>
    <x v="4"/>
    <n v="3.99"/>
    <x v="0"/>
    <x v="1"/>
    <x v="0"/>
  </r>
  <r>
    <x v="173"/>
    <x v="14"/>
    <d v="2020-07-24T00:00:00"/>
    <n v="3"/>
    <n v="0.32430555555555557"/>
    <x v="14"/>
    <x v="181"/>
    <s v="0.0023"/>
    <n v="7.5694444444444439E-2"/>
    <n v="-8505"/>
    <n v="0.28680555555555559"/>
    <x v="206"/>
    <x v="176"/>
    <n v="70"/>
    <n v="230999"/>
    <x v="4"/>
    <n v="3.85"/>
    <x v="1"/>
    <x v="1"/>
    <x v="1"/>
  </r>
  <r>
    <x v="174"/>
    <x v="14"/>
    <d v="2020-07-24T00:00:00"/>
    <n v="4"/>
    <n v="0.54027777777777775"/>
    <x v="166"/>
    <x v="182"/>
    <s v="5.62e-05"/>
    <d v="1899-12-30T00:11:00"/>
    <n v="-8426"/>
    <n v="0.19930555555555554"/>
    <x v="207"/>
    <x v="177"/>
    <n v="77"/>
    <n v="285634"/>
    <x v="4"/>
    <n v="4.76"/>
    <x v="0"/>
    <x v="0"/>
    <x v="0"/>
  </r>
  <r>
    <x v="175"/>
    <x v="14"/>
    <d v="2020-07-24T00:00:00"/>
    <n v="5"/>
    <n v="0.55972222222222223"/>
    <x v="167"/>
    <x v="183"/>
    <d v="1899-12-30T00:00:00"/>
    <n v="0.52013888888888882"/>
    <s v="-10.63"/>
    <n v="0.22847222222222222"/>
    <x v="208"/>
    <x v="151"/>
    <n v="78"/>
    <n v="255893"/>
    <x v="4"/>
    <n v="4.26"/>
    <x v="0"/>
    <x v="0"/>
    <x v="0"/>
  </r>
  <r>
    <x v="176"/>
    <x v="14"/>
    <d v="2020-07-24T00:00:00"/>
    <n v="6"/>
    <n v="0.4770833333333333"/>
    <x v="168"/>
    <x v="184"/>
    <s v="2.33e-06"/>
    <n v="0.41250000000000003"/>
    <n v="-10037"/>
    <n v="0.23194444444444443"/>
    <x v="209"/>
    <x v="178"/>
    <n v="73"/>
    <n v="208977"/>
    <x v="4"/>
    <n v="3.48"/>
    <x v="0"/>
    <x v="0"/>
    <x v="0"/>
  </r>
  <r>
    <x v="177"/>
    <x v="14"/>
    <d v="2020-07-24T00:00:00"/>
    <n v="7"/>
    <d v="1899-12-30T00:09:00"/>
    <x v="2"/>
    <x v="118"/>
    <s v="2.7e-05"/>
    <s v="0.091"/>
    <n v="-10769"/>
    <n v="0.19027777777777777"/>
    <x v="210"/>
    <x v="116"/>
    <n v="70"/>
    <n v="208906"/>
    <x v="4"/>
    <n v="3.48"/>
    <x v="0"/>
    <x v="0"/>
    <x v="1"/>
  </r>
  <r>
    <x v="178"/>
    <x v="14"/>
    <d v="2020-07-24T00:00:00"/>
    <n v="8"/>
    <n v="0.37361111111111112"/>
    <x v="169"/>
    <x v="185"/>
    <s v="7.28e-05"/>
    <n v="0.64236111111111105"/>
    <n v="-9208"/>
    <n v="0.2298611111111111"/>
    <x v="211"/>
    <x v="179"/>
    <n v="84"/>
    <n v="261922"/>
    <x v="4"/>
    <n v="4.37"/>
    <x v="0"/>
    <x v="1"/>
    <x v="0"/>
  </r>
  <r>
    <x v="179"/>
    <x v="14"/>
    <d v="2020-07-24T00:00:00"/>
    <n v="9"/>
    <n v="0.21805555555555556"/>
    <x v="132"/>
    <x v="186"/>
    <s v="4.74e-05"/>
    <n v="0.11875000000000001"/>
    <n v="-9843"/>
    <n v="0.22777777777777777"/>
    <x v="212"/>
    <x v="180"/>
    <n v="73"/>
    <n v="195097"/>
    <x v="4"/>
    <n v="3.25"/>
    <x v="0"/>
    <x v="0"/>
    <x v="0"/>
  </r>
  <r>
    <x v="180"/>
    <x v="14"/>
    <d v="2020-07-24T00:00:00"/>
    <n v="10"/>
    <n v="0.6118055555555556"/>
    <x v="113"/>
    <x v="187"/>
    <d v="1899-12-30T00:00:00"/>
    <n v="7.3611111111111113E-2"/>
    <n v="-10445"/>
    <n v="0.23472222222222225"/>
    <x v="213"/>
    <x v="181"/>
    <n v="77"/>
    <n v="190898"/>
    <x v="4"/>
    <n v="3.18"/>
    <x v="0"/>
    <x v="0"/>
    <x v="0"/>
  </r>
  <r>
    <x v="181"/>
    <x v="14"/>
    <d v="2020-07-24T00:00:00"/>
    <n v="11"/>
    <n v="0.58194444444444449"/>
    <x v="44"/>
    <x v="188"/>
    <s v="7.73e-05"/>
    <n v="7.4999999999999997E-2"/>
    <n v="-11143"/>
    <s v="0.055"/>
    <x v="214"/>
    <x v="182"/>
    <n v="73"/>
    <n v="252880"/>
    <x v="4"/>
    <n v="4.21"/>
    <x v="0"/>
    <x v="0"/>
    <x v="0"/>
  </r>
  <r>
    <x v="182"/>
    <x v="14"/>
    <d v="2020-07-24T00:00:00"/>
    <n v="12"/>
    <n v="0.4548611111111111"/>
    <x v="137"/>
    <x v="189"/>
    <s v="1.68e-05"/>
    <n v="7.9166666666666663E-2"/>
    <n v="-8995"/>
    <n v="0.32708333333333334"/>
    <x v="215"/>
    <x v="183"/>
    <n v="65"/>
    <n v="237258"/>
    <x v="4"/>
    <n v="3.95"/>
    <x v="0"/>
    <x v="1"/>
    <x v="1"/>
  </r>
  <r>
    <x v="183"/>
    <x v="14"/>
    <d v="2020-07-24T00:00:00"/>
    <n v="13"/>
    <n v="0.50763888888888886"/>
    <x v="170"/>
    <x v="78"/>
    <s v="0.000402"/>
    <n v="0.59583333333333333"/>
    <s v="-13.69"/>
    <n v="0.20972222222222223"/>
    <x v="216"/>
    <x v="184"/>
    <n v="64"/>
    <n v="289749"/>
    <x v="4"/>
    <n v="4.83"/>
    <x v="0"/>
    <x v="0"/>
    <x v="1"/>
  </r>
  <r>
    <x v="184"/>
    <x v="14"/>
    <d v="2020-07-24T00:00:00"/>
    <n v="14"/>
    <d v="1899-12-30T00:06:00"/>
    <x v="147"/>
    <x v="113"/>
    <d v="1899-12-30T00:00:00"/>
    <n v="0.6777777777777777"/>
    <n v="-8761"/>
    <n v="0.17569444444444446"/>
    <x v="217"/>
    <x v="185"/>
    <n v="73"/>
    <n v="294521"/>
    <x v="4"/>
    <n v="4.91"/>
    <x v="0"/>
    <x v="0"/>
    <x v="0"/>
  </r>
  <r>
    <x v="185"/>
    <x v="14"/>
    <d v="2020-07-24T00:00:00"/>
    <n v="15"/>
    <n v="0.63750000000000007"/>
    <x v="49"/>
    <x v="10"/>
    <s v="1.73e-05"/>
    <n v="0.63750000000000007"/>
    <n v="-12906"/>
    <n v="0.63611111111111118"/>
    <x v="218"/>
    <x v="186"/>
    <n v="65"/>
    <n v="234000"/>
    <x v="4"/>
    <n v="3.9"/>
    <x v="0"/>
    <x v="0"/>
    <x v="1"/>
  </r>
  <r>
    <x v="186"/>
    <x v="14"/>
    <d v="2020-07-24T00:00:00"/>
    <n v="16"/>
    <n v="0.67083333333333339"/>
    <x v="171"/>
    <x v="190"/>
    <s v="3.86e-06"/>
    <n v="9.2361111111111116E-2"/>
    <n v="-15065"/>
    <n v="0.28819444444444448"/>
    <x v="219"/>
    <x v="187"/>
    <n v="65"/>
    <n v="220042"/>
    <x v="4"/>
    <n v="3.67"/>
    <x v="0"/>
    <x v="0"/>
    <x v="1"/>
  </r>
  <r>
    <x v="205"/>
    <x v="15"/>
    <d v="2019-08-23T00:00:00"/>
    <n v="1"/>
    <n v="0.20694444444444446"/>
    <x v="86"/>
    <x v="175"/>
    <s v="2.03e-06"/>
    <n v="0.56388888888888888"/>
    <n v="-10345"/>
    <n v="0.36041666666666666"/>
    <x v="220"/>
    <x v="119"/>
    <n v="71"/>
    <n v="170640"/>
    <x v="5"/>
    <n v="2.84"/>
    <x v="0"/>
    <x v="0"/>
    <x v="0"/>
  </r>
  <r>
    <x v="206"/>
    <x v="15"/>
    <d v="2019-08-23T00:00:00"/>
    <n v="2"/>
    <n v="8.1250000000000003E-2"/>
    <x v="172"/>
    <x v="191"/>
    <s v="2.06e-05"/>
    <n v="7.2916666666666671E-2"/>
    <n v="-5707"/>
    <n v="0.10902777777777778"/>
    <x v="221"/>
    <x v="188"/>
    <n v="93"/>
    <n v="178426"/>
    <x v="5"/>
    <n v="2.97"/>
    <x v="0"/>
    <x v="1"/>
    <x v="0"/>
  </r>
  <r>
    <x v="207"/>
    <x v="15"/>
    <d v="2019-08-23T00:00:00"/>
    <n v="3"/>
    <n v="0.34166666666666662"/>
    <x v="155"/>
    <x v="192"/>
    <s v="1.58e-05"/>
    <n v="8.1944444444444445E-2"/>
    <n v="-7582"/>
    <n v="0.6381944444444444"/>
    <x v="222"/>
    <x v="189"/>
    <n v="86"/>
    <n v="221306"/>
    <x v="5"/>
    <n v="3.69"/>
    <x v="0"/>
    <x v="0"/>
    <x v="0"/>
  </r>
  <r>
    <x v="208"/>
    <x v="15"/>
    <d v="2019-08-23T00:00:00"/>
    <n v="4"/>
    <n v="0.53263888888888888"/>
    <x v="164"/>
    <x v="193"/>
    <d v="1899-12-30T00:00:00"/>
    <n v="0.62569444444444444"/>
    <n v="-5191"/>
    <s v="0.054"/>
    <x v="223"/>
    <x v="190"/>
    <n v="81"/>
    <n v="190360"/>
    <x v="5"/>
    <n v="3.17"/>
    <x v="1"/>
    <x v="1"/>
    <x v="0"/>
  </r>
  <r>
    <x v="209"/>
    <x v="15"/>
    <d v="2019-08-23T00:00:00"/>
    <n v="5"/>
    <d v="1899-12-30T00:12:00"/>
    <x v="173"/>
    <x v="141"/>
    <s v="0.00569"/>
    <n v="0.4604166666666667"/>
    <n v="-9375"/>
    <n v="0.27847222222222223"/>
    <x v="224"/>
    <x v="191"/>
    <n v="75"/>
    <n v="211240"/>
    <x v="5"/>
    <n v="3.52"/>
    <x v="0"/>
    <x v="0"/>
    <x v="0"/>
  </r>
  <r>
    <x v="210"/>
    <x v="15"/>
    <d v="2019-08-23T00:00:00"/>
    <n v="6"/>
    <s v="0.00889"/>
    <x v="174"/>
    <x v="3"/>
    <s v="0.000353"/>
    <n v="0.49652777777777773"/>
    <n v="-8029"/>
    <n v="0.39513888888888887"/>
    <x v="225"/>
    <x v="146"/>
    <n v="72"/>
    <n v="173386"/>
    <x v="5"/>
    <n v="2.89"/>
    <x v="0"/>
    <x v="0"/>
    <x v="0"/>
  </r>
  <r>
    <x v="211"/>
    <x v="15"/>
    <d v="2019-08-23T00:00:00"/>
    <n v="7"/>
    <s v="0.028"/>
    <x v="171"/>
    <x v="84"/>
    <s v="0.00615"/>
    <n v="9.5833333333333326E-2"/>
    <n v="-6926"/>
    <n v="0.51111111111111118"/>
    <x v="7"/>
    <x v="8"/>
    <n v="79"/>
    <n v="234146"/>
    <x v="5"/>
    <n v="3.9"/>
    <x v="0"/>
    <x v="1"/>
    <x v="0"/>
  </r>
  <r>
    <x v="212"/>
    <x v="15"/>
    <d v="2019-08-23T00:00:00"/>
    <n v="8"/>
    <n v="8.9583333333333334E-2"/>
    <x v="175"/>
    <x v="30"/>
    <s v="1.36e-05"/>
    <n v="0.51527777777777783"/>
    <n v="-6553"/>
    <n v="0.34513888888888888"/>
    <x v="226"/>
    <x v="192"/>
    <n v="78"/>
    <n v="222400"/>
    <x v="5"/>
    <n v="3.71"/>
    <x v="2"/>
    <x v="1"/>
    <x v="0"/>
  </r>
  <r>
    <x v="213"/>
    <x v="15"/>
    <d v="2019-08-23T00:00:00"/>
    <n v="9"/>
    <n v="0.54236111111111118"/>
    <x v="176"/>
    <x v="140"/>
    <s v="0.000189"/>
    <d v="1899-12-30T00:01:00"/>
    <n v="-9728"/>
    <n v="0.57430555555555551"/>
    <x v="227"/>
    <x v="4"/>
    <n v="74"/>
    <n v="287266"/>
    <x v="5"/>
    <n v="4.79"/>
    <x v="0"/>
    <x v="1"/>
    <x v="0"/>
  </r>
  <r>
    <x v="214"/>
    <x v="15"/>
    <d v="2019-08-23T00:00:00"/>
    <n v="10"/>
    <n v="0.31527777777777777"/>
    <x v="177"/>
    <x v="126"/>
    <d v="1899-12-30T00:00:00"/>
    <n v="0.22152777777777777"/>
    <n v="-6754"/>
    <n v="0.4368055555555555"/>
    <x v="228"/>
    <x v="45"/>
    <n v="72"/>
    <n v="198533"/>
    <x v="5"/>
    <n v="3.31"/>
    <x v="0"/>
    <x v="1"/>
    <x v="0"/>
  </r>
  <r>
    <x v="215"/>
    <x v="15"/>
    <d v="2019-08-23T00:00:00"/>
    <n v="11"/>
    <n v="0.17083333333333331"/>
    <x v="47"/>
    <x v="194"/>
    <s v="0.000104"/>
    <n v="9.2361111111111116E-2"/>
    <n v="-6639"/>
    <d v="1899-12-30T00:05:00"/>
    <x v="229"/>
    <x v="69"/>
    <n v="74"/>
    <n v="190240"/>
    <x v="5"/>
    <n v="3.17"/>
    <x v="0"/>
    <x v="0"/>
    <x v="0"/>
  </r>
  <r>
    <x v="216"/>
    <x v="15"/>
    <d v="2019-08-23T00:00:00"/>
    <n v="12"/>
    <n v="0.62986111111111109"/>
    <x v="178"/>
    <x v="195"/>
    <d v="1899-12-30T00:00:00"/>
    <n v="8.5416666666666655E-2"/>
    <n v="-12566"/>
    <n v="0.44513888888888892"/>
    <x v="230"/>
    <x v="193"/>
    <n v="66"/>
    <n v="201586"/>
    <x v="5"/>
    <n v="3.36"/>
    <x v="0"/>
    <x v="0"/>
    <x v="1"/>
  </r>
  <r>
    <x v="217"/>
    <x v="15"/>
    <d v="2019-08-23T00:00:00"/>
    <n v="13"/>
    <n v="0.51111111111111118"/>
    <x v="179"/>
    <x v="196"/>
    <s v="0.000147"/>
    <n v="7.7083333333333337E-2"/>
    <n v="-10862"/>
    <n v="0.16597222222222222"/>
    <x v="231"/>
    <x v="68"/>
    <n v="73"/>
    <n v="200306"/>
    <x v="5"/>
    <n v="3.34"/>
    <x v="0"/>
    <x v="0"/>
    <x v="0"/>
  </r>
  <r>
    <x v="218"/>
    <x v="15"/>
    <d v="2019-08-23T00:00:00"/>
    <n v="14"/>
    <s v="0.00929"/>
    <x v="180"/>
    <x v="197"/>
    <d v="1899-12-30T00:00:00"/>
    <n v="0.44236111111111115"/>
    <n v="-5617"/>
    <n v="0.3840277777777778"/>
    <x v="232"/>
    <x v="132"/>
    <n v="80"/>
    <n v="171360"/>
    <x v="5"/>
    <n v="2.86"/>
    <x v="1"/>
    <x v="1"/>
    <x v="0"/>
  </r>
  <r>
    <x v="219"/>
    <x v="15"/>
    <d v="2019-08-23T00:00:00"/>
    <n v="15"/>
    <d v="1899-12-30T00:13:00"/>
    <x v="181"/>
    <x v="71"/>
    <d v="1899-12-30T00:00:00"/>
    <n v="7.9166666666666663E-2"/>
    <n v="-8746"/>
    <n v="0.2388888888888889"/>
    <x v="233"/>
    <x v="102"/>
    <n v="74"/>
    <n v="223293"/>
    <x v="5"/>
    <n v="3.72"/>
    <x v="0"/>
    <x v="0"/>
    <x v="0"/>
  </r>
  <r>
    <x v="220"/>
    <x v="15"/>
    <d v="2019-08-23T00:00:00"/>
    <n v="16"/>
    <s v="0.033"/>
    <x v="109"/>
    <x v="198"/>
    <d v="1899-12-30T00:00:00"/>
    <n v="8.1944444444444445E-2"/>
    <n v="-4105"/>
    <n v="0.39652777777777781"/>
    <x v="234"/>
    <x v="194"/>
    <n v="75"/>
    <n v="193000"/>
    <x v="5"/>
    <n v="3.22"/>
    <x v="1"/>
    <x v="0"/>
    <x v="0"/>
  </r>
  <r>
    <x v="221"/>
    <x v="15"/>
    <d v="2019-08-23T00:00:00"/>
    <n v="17"/>
    <n v="0.6743055555555556"/>
    <x v="182"/>
    <x v="199"/>
    <s v="0.000337"/>
    <n v="0.11875000000000001"/>
    <n v="-9912"/>
    <n v="0.27847222222222223"/>
    <x v="235"/>
    <x v="166"/>
    <n v="66"/>
    <n v="150440"/>
    <x v="5"/>
    <n v="2.5099999999999998"/>
    <x v="0"/>
    <x v="0"/>
    <x v="1"/>
  </r>
  <r>
    <x v="222"/>
    <x v="15"/>
    <d v="2019-08-23T00:00:00"/>
    <n v="18"/>
    <n v="0.56111111111111112"/>
    <x v="60"/>
    <x v="200"/>
    <s v="0.000173"/>
    <n v="0.53611111111111109"/>
    <n v="-9602"/>
    <n v="0.39097222222222222"/>
    <x v="236"/>
    <x v="87"/>
    <n v="78"/>
    <n v="293453"/>
    <x v="5"/>
    <n v="4.8899999999999997"/>
    <x v="0"/>
    <x v="0"/>
    <x v="0"/>
  </r>
  <r>
    <x v="223"/>
    <x v="16"/>
    <d v="2017-11-10T00:00:00"/>
    <n v="1"/>
    <n v="0.3659722222222222"/>
    <x v="165"/>
    <x v="201"/>
    <d v="1899-12-30T00:00:00"/>
    <n v="0.13680555555555554"/>
    <n v="-6509"/>
    <n v="9.4444444444444442E-2"/>
    <x v="42"/>
    <x v="195"/>
    <n v="82"/>
    <n v="208186"/>
    <x v="6"/>
    <n v="3.47"/>
    <x v="0"/>
    <x v="1"/>
    <x v="0"/>
  </r>
  <r>
    <x v="224"/>
    <x v="16"/>
    <d v="2017-11-10T00:00:00"/>
    <n v="2"/>
    <s v="0.00845"/>
    <x v="183"/>
    <x v="202"/>
    <d v="1899-12-30T00:00:00"/>
    <n v="7.4999999999999997E-2"/>
    <n v="-6237"/>
    <n v="0.38750000000000001"/>
    <x v="237"/>
    <x v="85"/>
    <n v="74"/>
    <n v="244826"/>
    <x v="6"/>
    <n v="4.08"/>
    <x v="0"/>
    <x v="1"/>
    <x v="0"/>
  </r>
  <r>
    <x v="225"/>
    <x v="16"/>
    <d v="2017-11-10T00:00:00"/>
    <n v="3"/>
    <n v="0.47152777777777777"/>
    <x v="72"/>
    <x v="29"/>
    <s v="2.11e-05"/>
    <n v="0.48333333333333334"/>
    <n v="-6156"/>
    <n v="0.11041666666666666"/>
    <x v="238"/>
    <x v="196"/>
    <n v="75"/>
    <n v="238253"/>
    <x v="6"/>
    <n v="3.97"/>
    <x v="0"/>
    <x v="1"/>
    <x v="0"/>
  </r>
  <r>
    <x v="226"/>
    <x v="16"/>
    <d v="2017-11-10T00:00:00"/>
    <n v="4"/>
    <n v="7.3611111111111113E-2"/>
    <x v="87"/>
    <x v="100"/>
    <s v="1.76e-05"/>
    <n v="0.42152777777777778"/>
    <n v="-6719"/>
    <n v="0.26805555555555555"/>
    <x v="239"/>
    <x v="197"/>
    <n v="85"/>
    <n v="236413"/>
    <x v="6"/>
    <n v="3.94"/>
    <x v="0"/>
    <x v="0"/>
    <x v="0"/>
  </r>
  <r>
    <x v="227"/>
    <x v="16"/>
    <d v="2017-11-10T00:00:00"/>
    <n v="5"/>
    <n v="0.15"/>
    <x v="184"/>
    <x v="203"/>
    <s v="0.000357"/>
    <n v="0.63263888888888886"/>
    <n v="-10178"/>
    <n v="0.47361111111111115"/>
    <x v="240"/>
    <x v="198"/>
    <n v="81"/>
    <n v="232253"/>
    <x v="6"/>
    <n v="3.87"/>
    <x v="0"/>
    <x v="0"/>
    <x v="0"/>
  </r>
  <r>
    <x v="228"/>
    <x v="16"/>
    <d v="2017-11-10T00:00:00"/>
    <n v="6"/>
    <n v="0.14166666666666666"/>
    <x v="185"/>
    <x v="204"/>
    <s v="1.41e-05"/>
    <n v="8.7500000000000008E-2"/>
    <n v="-6471"/>
    <n v="8.5416666666666655E-2"/>
    <x v="241"/>
    <x v="183"/>
    <n v="81"/>
    <n v="211853"/>
    <x v="6"/>
    <n v="3.53"/>
    <x v="0"/>
    <x v="1"/>
    <x v="0"/>
  </r>
  <r>
    <x v="229"/>
    <x v="16"/>
    <d v="2017-11-10T00:00:00"/>
    <n v="7"/>
    <n v="8.4722222222222213E-2"/>
    <x v="186"/>
    <x v="104"/>
    <s v="1.1e-06"/>
    <d v="1899-12-30T00:13:00"/>
    <n v="-7283"/>
    <n v="0.5083333333333333"/>
    <x v="242"/>
    <x v="152"/>
    <n v="69"/>
    <n v="227906"/>
    <x v="6"/>
    <n v="3.8"/>
    <x v="0"/>
    <x v="0"/>
    <x v="1"/>
  </r>
  <r>
    <x v="230"/>
    <x v="16"/>
    <d v="2017-11-10T00:00:00"/>
    <n v="8"/>
    <n v="0.49513888888888885"/>
    <x v="46"/>
    <x v="205"/>
    <s v="9.48e-06"/>
    <n v="0.14791666666666667"/>
    <n v="-6684"/>
    <n v="9.375E-2"/>
    <x v="243"/>
    <x v="155"/>
    <n v="76"/>
    <n v="209680"/>
    <x v="6"/>
    <n v="3.49"/>
    <x v="0"/>
    <x v="0"/>
    <x v="0"/>
  </r>
  <r>
    <x v="231"/>
    <x v="16"/>
    <d v="2017-11-10T00:00:00"/>
    <n v="9"/>
    <s v="0.00465"/>
    <x v="187"/>
    <x v="206"/>
    <s v="2.23e-06"/>
    <n v="0.6166666666666667"/>
    <n v="-6745"/>
    <n v="8.819444444444445E-2"/>
    <x v="244"/>
    <x v="68"/>
    <n v="79"/>
    <n v="233626"/>
    <x v="6"/>
    <n v="3.89"/>
    <x v="0"/>
    <x v="1"/>
    <x v="0"/>
  </r>
  <r>
    <x v="232"/>
    <x v="16"/>
    <d v="2017-11-10T00:00:00"/>
    <n v="10"/>
    <s v="0.00882"/>
    <x v="188"/>
    <x v="41"/>
    <s v="2.21e-06"/>
    <n v="0.27152777777777776"/>
    <n v="-7902"/>
    <n v="0.26527777777777778"/>
    <x v="245"/>
    <x v="199"/>
    <n v="72"/>
    <n v="214320"/>
    <x v="6"/>
    <n v="3.57"/>
    <x v="0"/>
    <x v="1"/>
    <x v="0"/>
  </r>
  <r>
    <x v="233"/>
    <x v="16"/>
    <d v="2017-11-10T00:00:00"/>
    <n v="11"/>
    <n v="0.41944444444444445"/>
    <x v="37"/>
    <x v="207"/>
    <s v="1.1e-05"/>
    <n v="9.5833333333333326E-2"/>
    <n v="-6686"/>
    <n v="0.1361111111111111"/>
    <x v="246"/>
    <x v="200"/>
    <n v="72"/>
    <n v="211506"/>
    <x v="6"/>
    <n v="3.53"/>
    <x v="0"/>
    <x v="1"/>
    <x v="0"/>
  </r>
  <r>
    <x v="234"/>
    <x v="16"/>
    <d v="2017-11-10T00:00:00"/>
    <n v="12"/>
    <n v="0.22847222222222222"/>
    <x v="189"/>
    <x v="208"/>
    <d v="1899-12-30T00:00:00"/>
    <n v="0.11736111111111112"/>
    <n v="-8792"/>
    <n v="0.37013888888888885"/>
    <x v="247"/>
    <x v="201"/>
    <n v="75"/>
    <n v="230373"/>
    <x v="6"/>
    <n v="3.84"/>
    <x v="1"/>
    <x v="0"/>
    <x v="0"/>
  </r>
  <r>
    <x v="235"/>
    <x v="16"/>
    <d v="2017-11-10T00:00:00"/>
    <n v="13"/>
    <n v="0.10833333333333334"/>
    <x v="93"/>
    <x v="209"/>
    <d v="1899-12-30T00:00:00"/>
    <n v="0.26527777777777778"/>
    <n v="-5986"/>
    <n v="7.9861111111111119E-2"/>
    <x v="248"/>
    <x v="5"/>
    <n v="70"/>
    <n v="207133"/>
    <x v="6"/>
    <n v="3.45"/>
    <x v="0"/>
    <x v="1"/>
    <x v="1"/>
  </r>
  <r>
    <x v="236"/>
    <x v="16"/>
    <d v="2017-11-10T00:00:00"/>
    <n v="14"/>
    <n v="0.12916666666666668"/>
    <x v="118"/>
    <x v="210"/>
    <s v="0.000221"/>
    <d v="1899-12-30T00:34:00"/>
    <n v="-9874"/>
    <n v="0.50763888888888886"/>
    <x v="249"/>
    <x v="22"/>
    <n v="75"/>
    <n v="203506"/>
    <x v="6"/>
    <n v="3.39"/>
    <x v="0"/>
    <x v="0"/>
    <x v="0"/>
  </r>
  <r>
    <x v="237"/>
    <x v="16"/>
    <d v="2017-11-10T00:00:00"/>
    <n v="15"/>
    <n v="0.63958333333333328"/>
    <x v="10"/>
    <x v="211"/>
    <d v="1899-12-30T00:00:00"/>
    <d v="1899-12-30T00:13:00"/>
    <n v="-12864"/>
    <n v="0.24583333333333335"/>
    <x v="210"/>
    <x v="16"/>
    <n v="70"/>
    <n v="235466"/>
    <x v="6"/>
    <n v="3.92"/>
    <x v="0"/>
    <x v="0"/>
    <x v="1"/>
  </r>
  <r>
    <x v="238"/>
    <x v="17"/>
    <d v="2017-11-09T00:00:00"/>
    <n v="1"/>
    <n v="0.31111111111111112"/>
    <x v="190"/>
    <x v="212"/>
    <s v="0.000334"/>
    <n v="8.8888888888888892E-2"/>
    <n v="-7803"/>
    <n v="0.20347222222222225"/>
    <x v="250"/>
    <x v="202"/>
    <n v="35"/>
    <n v="329160"/>
    <x v="6"/>
    <n v="5.49"/>
    <x v="0"/>
    <x v="1"/>
    <x v="2"/>
  </r>
  <r>
    <x v="239"/>
    <x v="17"/>
    <d v="2017-11-09T00:00:00"/>
    <n v="2"/>
    <n v="0.48819444444444443"/>
    <x v="191"/>
    <x v="213"/>
    <s v="0.00138"/>
    <n v="7.3611111111111113E-2"/>
    <n v="-7416"/>
    <n v="0.62777777777777777"/>
    <x v="251"/>
    <x v="203"/>
    <n v="38"/>
    <n v="220440"/>
    <x v="6"/>
    <n v="3.67"/>
    <x v="0"/>
    <x v="1"/>
    <x v="2"/>
  </r>
  <r>
    <x v="240"/>
    <x v="17"/>
    <d v="2017-11-09T00:00:00"/>
    <n v="3"/>
    <n v="0.44305555555555554"/>
    <x v="192"/>
    <x v="214"/>
    <s v="4.1e-06"/>
    <n v="0.10972222222222222"/>
    <n v="-8567"/>
    <n v="0.19791666666666666"/>
    <x v="252"/>
    <x v="204"/>
    <n v="30"/>
    <n v="246306"/>
    <x v="6"/>
    <n v="4.1100000000000003"/>
    <x v="0"/>
    <x v="0"/>
    <x v="2"/>
  </r>
  <r>
    <x v="241"/>
    <x v="17"/>
    <d v="2017-11-09T00:00:00"/>
    <n v="4"/>
    <n v="0.54097222222222219"/>
    <x v="50"/>
    <x v="215"/>
    <s v="0.000124"/>
    <n v="0.63263888888888886"/>
    <n v="-4273"/>
    <n v="0.29375000000000001"/>
    <x v="253"/>
    <x v="205"/>
    <n v="33"/>
    <n v="223093"/>
    <x v="6"/>
    <n v="3.72"/>
    <x v="1"/>
    <x v="1"/>
    <x v="2"/>
  </r>
  <r>
    <x v="242"/>
    <x v="17"/>
    <d v="2017-11-09T00:00:00"/>
    <n v="5"/>
    <n v="0.11041666666666666"/>
    <x v="114"/>
    <x v="216"/>
    <s v="0.0022"/>
    <n v="0.67013888888888884"/>
    <n v="-6698"/>
    <n v="0.53749999999999998"/>
    <x v="254"/>
    <x v="206"/>
    <n v="29"/>
    <n v="202960"/>
    <x v="6"/>
    <n v="3.38"/>
    <x v="1"/>
    <x v="1"/>
    <x v="2"/>
  </r>
  <r>
    <x v="243"/>
    <x v="17"/>
    <d v="2017-11-09T00:00:00"/>
    <n v="6"/>
    <n v="0.21875"/>
    <x v="8"/>
    <x v="217"/>
    <d v="1899-12-30T00:00:00"/>
    <n v="9.5833333333333326E-2"/>
    <n v="-6993"/>
    <n v="0.16250000000000001"/>
    <x v="255"/>
    <x v="87"/>
    <n v="32"/>
    <n v="204706"/>
    <x v="6"/>
    <n v="3.41"/>
    <x v="0"/>
    <x v="0"/>
    <x v="2"/>
  </r>
  <r>
    <x v="244"/>
    <x v="17"/>
    <d v="2017-11-09T00:00:00"/>
    <n v="7"/>
    <n v="7.9166666666666663E-2"/>
    <x v="193"/>
    <x v="37"/>
    <d v="1899-12-30T00:00:00"/>
    <n v="0.22291666666666665"/>
    <s v="-5.05"/>
    <n v="0.25208333333333333"/>
    <x v="256"/>
    <x v="207"/>
    <n v="36"/>
    <n v="203440"/>
    <x v="6"/>
    <n v="3.39"/>
    <x v="0"/>
    <x v="1"/>
    <x v="2"/>
  </r>
  <r>
    <x v="245"/>
    <x v="17"/>
    <d v="2017-11-09T00:00:00"/>
    <n v="8"/>
    <s v="0.00254"/>
    <x v="78"/>
    <x v="126"/>
    <s v="0.00146"/>
    <n v="0.32847222222222222"/>
    <n v="-6565"/>
    <n v="0.26319444444444445"/>
    <x v="257"/>
    <x v="208"/>
    <n v="35"/>
    <n v="232120"/>
    <x v="6"/>
    <n v="3.87"/>
    <x v="1"/>
    <x v="1"/>
    <x v="2"/>
  </r>
  <r>
    <x v="246"/>
    <x v="17"/>
    <d v="2017-11-09T00:00:00"/>
    <n v="9"/>
    <s v="0.00476"/>
    <x v="194"/>
    <x v="218"/>
    <s v="2.74e-06"/>
    <n v="0.24861111111111112"/>
    <n v="-6761"/>
    <n v="0.28611111111111109"/>
    <x v="258"/>
    <x v="209"/>
    <n v="36"/>
    <n v="219720"/>
    <x v="6"/>
    <n v="3.66"/>
    <x v="1"/>
    <x v="0"/>
    <x v="2"/>
  </r>
  <r>
    <x v="247"/>
    <x v="17"/>
    <d v="2017-11-09T00:00:00"/>
    <n v="10"/>
    <s v="0.059"/>
    <x v="195"/>
    <x v="125"/>
    <s v="1.8e-05"/>
    <d v="1899-12-30T00:14:00"/>
    <n v="-8418"/>
    <n v="0.37361111111111112"/>
    <x v="259"/>
    <x v="184"/>
    <n v="79"/>
    <n v="247160"/>
    <x v="6"/>
    <n v="4.12"/>
    <x v="0"/>
    <x v="0"/>
    <x v="0"/>
  </r>
  <r>
    <x v="248"/>
    <x v="17"/>
    <d v="2017-11-09T00:00:00"/>
    <n v="11"/>
    <n v="0.31180555555555556"/>
    <x v="196"/>
    <x v="219"/>
    <d v="1899-12-30T00:00:00"/>
    <n v="0.15486111111111112"/>
    <n v="-3982"/>
    <n v="0.29652777777777778"/>
    <x v="260"/>
    <x v="210"/>
    <n v="32"/>
    <n v="238693"/>
    <x v="6"/>
    <n v="3.98"/>
    <x v="1"/>
    <x v="1"/>
    <x v="2"/>
  </r>
  <r>
    <x v="249"/>
    <x v="17"/>
    <d v="2017-11-09T00:00:00"/>
    <n v="12"/>
    <s v="0.00363"/>
    <x v="197"/>
    <x v="220"/>
    <s v="0.00899"/>
    <n v="0.63750000000000007"/>
    <n v="-6112"/>
    <n v="0.34930555555555554"/>
    <x v="261"/>
    <x v="211"/>
    <n v="31"/>
    <n v="247533"/>
    <x v="6"/>
    <n v="4.13"/>
    <x v="0"/>
    <x v="1"/>
    <x v="2"/>
  </r>
  <r>
    <x v="229"/>
    <x v="17"/>
    <d v="2017-11-09T00:00:00"/>
    <n v="13"/>
    <n v="8.4722222222222213E-2"/>
    <x v="65"/>
    <x v="104"/>
    <s v="1.1e-06"/>
    <d v="1899-12-30T00:13:00"/>
    <n v="-7283"/>
    <n v="0.4694444444444445"/>
    <x v="262"/>
    <x v="62"/>
    <n v="54"/>
    <n v="227906"/>
    <x v="6"/>
    <n v="3.8"/>
    <x v="0"/>
    <x v="0"/>
    <x v="1"/>
  </r>
  <r>
    <x v="250"/>
    <x v="17"/>
    <d v="2017-11-09T00:00:00"/>
    <n v="14"/>
    <d v="1899-12-30T00:07:00"/>
    <x v="143"/>
    <x v="221"/>
    <d v="1899-12-30T00:00:00"/>
    <n v="9.5833333333333326E-2"/>
    <n v="-4436"/>
    <s v="0.027"/>
    <x v="263"/>
    <x v="212"/>
    <n v="29"/>
    <n v="295320"/>
    <x v="6"/>
    <n v="4.92"/>
    <x v="0"/>
    <x v="0"/>
    <x v="2"/>
  </r>
  <r>
    <x v="251"/>
    <x v="17"/>
    <d v="2017-11-09T00:00:00"/>
    <n v="15"/>
    <s v="0.00311"/>
    <x v="96"/>
    <x v="222"/>
    <s v="3.1e-06"/>
    <n v="0.12986111111111112"/>
    <n v="-2945"/>
    <n v="0.20972222222222223"/>
    <x v="264"/>
    <x v="213"/>
    <n v="37"/>
    <n v="231866"/>
    <x v="6"/>
    <n v="3.86"/>
    <x v="1"/>
    <x v="1"/>
    <x v="2"/>
  </r>
  <r>
    <x v="252"/>
    <x v="17"/>
    <d v="2017-11-09T00:00:00"/>
    <n v="16"/>
    <s v="0.041"/>
    <x v="109"/>
    <x v="223"/>
    <d v="1899-12-30T00:00:00"/>
    <d v="1899-12-30T00:16:00"/>
    <s v="-2.98"/>
    <n v="0.21458333333333335"/>
    <x v="265"/>
    <x v="102"/>
    <n v="31"/>
    <n v="262920"/>
    <x v="6"/>
    <n v="4.38"/>
    <x v="0"/>
    <x v="1"/>
    <x v="2"/>
  </r>
  <r>
    <x v="253"/>
    <x v="17"/>
    <d v="2017-11-09T00:00:00"/>
    <n v="17"/>
    <s v="0.000182"/>
    <x v="198"/>
    <x v="224"/>
    <s v="0.00115"/>
    <n v="0.61041666666666672"/>
    <n v="-5895"/>
    <n v="0.23124999999999998"/>
    <x v="98"/>
    <x v="214"/>
    <n v="28"/>
    <n v="295720"/>
    <x v="6"/>
    <n v="4.93"/>
    <x v="0"/>
    <x v="1"/>
    <x v="2"/>
  </r>
  <r>
    <x v="254"/>
    <x v="17"/>
    <d v="2017-11-09T00:00:00"/>
    <n v="18"/>
    <n v="0.4548611111111111"/>
    <x v="199"/>
    <x v="225"/>
    <d v="1899-12-30T00:00:00"/>
    <n v="0.42499999999999999"/>
    <n v="-2622"/>
    <n v="0.4201388888888889"/>
    <x v="266"/>
    <x v="62"/>
    <n v="30"/>
    <n v="245413"/>
    <x v="6"/>
    <n v="4.09"/>
    <x v="0"/>
    <x v="1"/>
    <x v="2"/>
  </r>
  <r>
    <x v="255"/>
    <x v="17"/>
    <d v="2017-11-09T00:00:00"/>
    <n v="19"/>
    <n v="0.57222222222222219"/>
    <x v="200"/>
    <x v="226"/>
    <d v="1899-12-30T00:00:00"/>
    <n v="9.4444444444444442E-2"/>
    <n v="-8828"/>
    <n v="0.20972222222222223"/>
    <x v="267"/>
    <x v="211"/>
    <n v="28"/>
    <n v="292920"/>
    <x v="6"/>
    <n v="4.88"/>
    <x v="0"/>
    <x v="0"/>
    <x v="2"/>
  </r>
  <r>
    <x v="256"/>
    <x v="17"/>
    <d v="2017-11-09T00:00:00"/>
    <n v="20"/>
    <n v="7.013888888888889E-2"/>
    <x v="201"/>
    <x v="227"/>
    <s v="4.3e-06"/>
    <d v="1899-12-30T00:14:00"/>
    <n v="-8086"/>
    <n v="0.23194444444444443"/>
    <x v="268"/>
    <x v="74"/>
    <n v="27"/>
    <n v="242760"/>
    <x v="6"/>
    <n v="4.05"/>
    <x v="0"/>
    <x v="1"/>
    <x v="2"/>
  </r>
  <r>
    <x v="257"/>
    <x v="17"/>
    <d v="2017-11-09T00:00:00"/>
    <n v="21"/>
    <n v="0.1534722222222222"/>
    <x v="202"/>
    <x v="228"/>
    <d v="1899-12-30T00:00:00"/>
    <n v="8.6805555555555566E-2"/>
    <n v="-3266"/>
    <n v="7.0833333333333331E-2"/>
    <x v="269"/>
    <x v="205"/>
    <n v="29"/>
    <n v="215106"/>
    <x v="6"/>
    <n v="3.59"/>
    <x v="1"/>
    <x v="1"/>
    <x v="2"/>
  </r>
  <r>
    <x v="258"/>
    <x v="17"/>
    <d v="2017-11-09T00:00:00"/>
    <n v="22"/>
    <n v="0.24166666666666667"/>
    <x v="203"/>
    <x v="157"/>
    <s v="1.69e-06"/>
    <n v="0.20972222222222223"/>
    <n v="-4762"/>
    <n v="0.22430555555555556"/>
    <x v="270"/>
    <x v="215"/>
    <n v="31"/>
    <n v="212600"/>
    <x v="6"/>
    <n v="3.54"/>
    <x v="1"/>
    <x v="1"/>
    <x v="2"/>
  </r>
  <r>
    <x v="259"/>
    <x v="17"/>
    <d v="2017-11-09T00:00:00"/>
    <n v="23"/>
    <n v="0.26458333333333334"/>
    <x v="204"/>
    <x v="229"/>
    <d v="1899-12-30T00:00:00"/>
    <n v="0.21319444444444444"/>
    <n v="-4401"/>
    <n v="0.18888888888888888"/>
    <x v="271"/>
    <x v="187"/>
    <n v="29"/>
    <n v="242973"/>
    <x v="6"/>
    <n v="4.05"/>
    <x v="0"/>
    <x v="1"/>
    <x v="2"/>
  </r>
  <r>
    <x v="260"/>
    <x v="17"/>
    <d v="2017-11-09T00:00:00"/>
    <n v="24"/>
    <n v="0.4909722222222222"/>
    <x v="194"/>
    <x v="230"/>
    <s v="0.00117"/>
    <n v="0.10972222222222222"/>
    <n v="-3907"/>
    <n v="0.19097222222222221"/>
    <x v="272"/>
    <x v="216"/>
    <n v="40"/>
    <n v="353253"/>
    <x v="6"/>
    <n v="5.89"/>
    <x v="0"/>
    <x v="1"/>
    <x v="1"/>
  </r>
  <r>
    <x v="261"/>
    <x v="17"/>
    <d v="2017-11-09T00:00:00"/>
    <n v="25"/>
    <s v="0.00418"/>
    <x v="205"/>
    <x v="201"/>
    <d v="1899-12-30T00:00:00"/>
    <n v="7.7083333333333337E-2"/>
    <n v="-4206"/>
    <n v="0.26180555555555557"/>
    <x v="140"/>
    <x v="217"/>
    <n v="26"/>
    <n v="281053"/>
    <x v="6"/>
    <n v="4.68"/>
    <x v="0"/>
    <x v="1"/>
    <x v="2"/>
  </r>
  <r>
    <x v="262"/>
    <x v="17"/>
    <d v="2017-11-09T00:00:00"/>
    <n v="26"/>
    <n v="0.32569444444444445"/>
    <x v="22"/>
    <x v="231"/>
    <d v="1899-12-30T00:00:00"/>
    <s v="0.087"/>
    <n v="-7392"/>
    <n v="0.19375000000000001"/>
    <x v="273"/>
    <x v="218"/>
    <n v="30"/>
    <n v="239346"/>
    <x v="6"/>
    <n v="3.99"/>
    <x v="0"/>
    <x v="0"/>
    <x v="2"/>
  </r>
  <r>
    <x v="263"/>
    <x v="17"/>
    <d v="2017-11-09T00:00:00"/>
    <n v="27"/>
    <s v="0.000743"/>
    <x v="168"/>
    <x v="232"/>
    <s v="1.07e-05"/>
    <n v="0.23680555555555557"/>
    <n v="-6937"/>
    <n v="0.27569444444444441"/>
    <x v="274"/>
    <x v="186"/>
    <n v="32"/>
    <n v="235800"/>
    <x v="6"/>
    <n v="3.93"/>
    <x v="0"/>
    <x v="1"/>
    <x v="2"/>
  </r>
  <r>
    <x v="264"/>
    <x v="17"/>
    <d v="2017-11-09T00:00:00"/>
    <n v="28"/>
    <s v="0.00471"/>
    <x v="51"/>
    <x v="233"/>
    <s v="2.06e-06"/>
    <n v="0.69236111111111109"/>
    <n v="-6291"/>
    <n v="0.17777777777777778"/>
    <x v="275"/>
    <x v="12"/>
    <n v="28"/>
    <n v="223920"/>
    <x v="6"/>
    <n v="3.73"/>
    <x v="0"/>
    <x v="0"/>
    <x v="2"/>
  </r>
  <r>
    <x v="265"/>
    <x v="17"/>
    <d v="2017-11-09T00:00:00"/>
    <n v="29"/>
    <n v="0.39999999999999997"/>
    <x v="206"/>
    <x v="234"/>
    <d v="1899-12-30T00:00:00"/>
    <n v="0.22708333333333333"/>
    <n v="-2929"/>
    <n v="0.22430555555555556"/>
    <x v="276"/>
    <x v="5"/>
    <n v="27"/>
    <n v="202080"/>
    <x v="6"/>
    <n v="3.37"/>
    <x v="0"/>
    <x v="1"/>
    <x v="2"/>
  </r>
  <r>
    <x v="266"/>
    <x v="17"/>
    <d v="2017-11-09T00:00:00"/>
    <n v="30"/>
    <n v="0.47152777777777777"/>
    <x v="76"/>
    <x v="235"/>
    <d v="1899-12-30T00:00:00"/>
    <n v="0.64444444444444449"/>
    <n v="-8795"/>
    <n v="0.22152777777777777"/>
    <x v="277"/>
    <x v="163"/>
    <n v="28"/>
    <n v="250093"/>
    <x v="6"/>
    <n v="4.17"/>
    <x v="0"/>
    <x v="0"/>
    <x v="2"/>
  </r>
  <r>
    <x v="267"/>
    <x v="17"/>
    <d v="2017-11-09T00:00:00"/>
    <n v="31"/>
    <n v="0.24444444444444444"/>
    <x v="207"/>
    <x v="236"/>
    <d v="1899-12-30T00:00:00"/>
    <d v="1899-12-30T00:13:00"/>
    <n v="-7639"/>
    <n v="0.24861111111111112"/>
    <x v="278"/>
    <x v="219"/>
    <n v="26"/>
    <n v="240266"/>
    <x v="6"/>
    <n v="4"/>
    <x v="0"/>
    <x v="0"/>
    <x v="2"/>
  </r>
  <r>
    <x v="268"/>
    <x v="17"/>
    <d v="2017-11-09T00:00:00"/>
    <n v="32"/>
    <d v="1899-12-30T00:56:00"/>
    <x v="208"/>
    <x v="72"/>
    <d v="1899-12-30T00:00:00"/>
    <n v="0.11458333333333333"/>
    <n v="-5732"/>
    <n v="0.17083333333333331"/>
    <x v="279"/>
    <x v="212"/>
    <n v="27"/>
    <n v="205853"/>
    <x v="6"/>
    <n v="3.43"/>
    <x v="0"/>
    <x v="0"/>
    <x v="2"/>
  </r>
  <r>
    <x v="269"/>
    <x v="17"/>
    <d v="2017-11-09T00:00:00"/>
    <n v="33"/>
    <n v="0.28888888888888892"/>
    <x v="209"/>
    <x v="237"/>
    <d v="1899-12-30T00:00:00"/>
    <n v="8.9583333333333334E-2"/>
    <n v="-7405"/>
    <n v="0.19513888888888889"/>
    <x v="280"/>
    <x v="128"/>
    <n v="31"/>
    <n v="264946"/>
    <x v="6"/>
    <n v="4.42"/>
    <x v="0"/>
    <x v="0"/>
    <x v="2"/>
  </r>
  <r>
    <x v="270"/>
    <x v="17"/>
    <d v="2017-11-09T00:00:00"/>
    <n v="34"/>
    <n v="8.4027777777777771E-2"/>
    <x v="210"/>
    <x v="238"/>
    <d v="1899-12-30T00:00:00"/>
    <n v="0.67638888888888893"/>
    <n v="-3648"/>
    <n v="0.26319444444444445"/>
    <x v="281"/>
    <x v="134"/>
    <n v="30"/>
    <n v="263613"/>
    <x v="6"/>
    <n v="4.3899999999999997"/>
    <x v="0"/>
    <x v="1"/>
    <x v="2"/>
  </r>
  <r>
    <x v="271"/>
    <x v="17"/>
    <d v="2017-11-09T00:00:00"/>
    <n v="35"/>
    <n v="7.8472222222222221E-2"/>
    <x v="211"/>
    <x v="189"/>
    <d v="1899-12-30T00:00:00"/>
    <s v="0.074"/>
    <n v="-5712"/>
    <n v="0.18819444444444444"/>
    <x v="282"/>
    <x v="220"/>
    <n v="26"/>
    <n v="238093"/>
    <x v="6"/>
    <n v="3.97"/>
    <x v="1"/>
    <x v="1"/>
    <x v="2"/>
  </r>
  <r>
    <x v="272"/>
    <x v="17"/>
    <d v="2017-11-09T00:00:00"/>
    <n v="36"/>
    <n v="0.13680555555555554"/>
    <x v="18"/>
    <x v="239"/>
    <s v="3.49e-06"/>
    <d v="1899-12-30T00:14:00"/>
    <n v="-8349"/>
    <n v="0.18680555555555556"/>
    <x v="283"/>
    <x v="221"/>
    <n v="27"/>
    <n v="239426"/>
    <x v="6"/>
    <n v="3.99"/>
    <x v="0"/>
    <x v="0"/>
    <x v="2"/>
  </r>
  <r>
    <x v="273"/>
    <x v="17"/>
    <d v="2017-11-09T00:00:00"/>
    <n v="37"/>
    <n v="0.36319444444444443"/>
    <x v="212"/>
    <x v="87"/>
    <d v="1899-12-30T00:00:00"/>
    <n v="0.50555555555555554"/>
    <n v="-4948"/>
    <n v="0.19097222222222221"/>
    <x v="284"/>
    <x v="9"/>
    <n v="27"/>
    <n v="251213"/>
    <x v="6"/>
    <n v="4.1900000000000004"/>
    <x v="0"/>
    <x v="0"/>
    <x v="2"/>
  </r>
  <r>
    <x v="274"/>
    <x v="17"/>
    <d v="2017-11-09T00:00:00"/>
    <n v="38"/>
    <s v="0.00556"/>
    <x v="64"/>
    <x v="40"/>
    <s v="0.000318"/>
    <n v="0.40833333333333338"/>
    <s v="-3.63"/>
    <n v="0.27638888888888891"/>
    <x v="285"/>
    <x v="145"/>
    <n v="28"/>
    <n v="267653"/>
    <x v="6"/>
    <n v="4.46"/>
    <x v="1"/>
    <x v="1"/>
    <x v="2"/>
  </r>
  <r>
    <x v="275"/>
    <x v="17"/>
    <d v="2017-11-09T00:00:00"/>
    <n v="39"/>
    <n v="0.55902777777777779"/>
    <x v="213"/>
    <x v="240"/>
    <d v="1899-12-30T00:00:00"/>
    <n v="0.14375000000000002"/>
    <s v="-5.02"/>
    <n v="0.40763888888888888"/>
    <x v="286"/>
    <x v="222"/>
    <n v="26"/>
    <n v="226293"/>
    <x v="6"/>
    <n v="3.77"/>
    <x v="0"/>
    <x v="1"/>
    <x v="2"/>
  </r>
  <r>
    <x v="276"/>
    <x v="17"/>
    <d v="2017-11-09T00:00:00"/>
    <n v="40"/>
    <n v="0.13263888888888889"/>
    <x v="214"/>
    <x v="22"/>
    <s v="1.93e-06"/>
    <n v="7.4999999999999997E-2"/>
    <n v="-7361"/>
    <n v="0.22083333333333333"/>
    <x v="287"/>
    <x v="223"/>
    <n v="26"/>
    <n v="256040"/>
    <x v="6"/>
    <n v="4.2699999999999996"/>
    <x v="1"/>
    <x v="0"/>
    <x v="2"/>
  </r>
  <r>
    <x v="277"/>
    <x v="17"/>
    <d v="2017-11-09T00:00:00"/>
    <n v="41"/>
    <n v="0.68819444444444444"/>
    <x v="177"/>
    <x v="241"/>
    <d v="1899-12-30T00:00:00"/>
    <n v="7.0833333333333331E-2"/>
    <n v="-3753"/>
    <n v="0.21111111111111111"/>
    <x v="288"/>
    <x v="132"/>
    <n v="28"/>
    <n v="243346"/>
    <x v="6"/>
    <n v="4.0599999999999996"/>
    <x v="1"/>
    <x v="1"/>
    <x v="2"/>
  </r>
  <r>
    <x v="278"/>
    <x v="17"/>
    <d v="2017-11-09T00:00:00"/>
    <n v="42"/>
    <n v="0.34236111111111112"/>
    <x v="215"/>
    <x v="242"/>
    <s v="2.57e-05"/>
    <n v="0.12291666666666667"/>
    <n v="-5447"/>
    <n v="0.38125000000000003"/>
    <x v="289"/>
    <x v="50"/>
    <n v="30"/>
    <n v="245560"/>
    <x v="6"/>
    <n v="4.09"/>
    <x v="0"/>
    <x v="1"/>
    <x v="2"/>
  </r>
  <r>
    <x v="279"/>
    <x v="17"/>
    <d v="2017-11-09T00:00:00"/>
    <n v="43"/>
    <n v="0.21597222222222223"/>
    <x v="65"/>
    <x v="243"/>
    <d v="1899-12-30T00:00:00"/>
    <d v="1899-12-30T00:01:00"/>
    <n v="-8066"/>
    <n v="0.17847222222222223"/>
    <x v="290"/>
    <x v="18"/>
    <n v="28"/>
    <n v="235400"/>
    <x v="6"/>
    <n v="3.92"/>
    <x v="0"/>
    <x v="0"/>
    <x v="2"/>
  </r>
  <r>
    <x v="280"/>
    <x v="17"/>
    <d v="2017-11-09T00:00:00"/>
    <n v="44"/>
    <s v="0.00454"/>
    <x v="216"/>
    <x v="244"/>
    <s v="0.000462"/>
    <n v="7.013888888888889E-2"/>
    <n v="-3685"/>
    <n v="0.4993055555555555"/>
    <x v="144"/>
    <x v="222"/>
    <n v="28"/>
    <n v="215600"/>
    <x v="6"/>
    <n v="3.59"/>
    <x v="0"/>
    <x v="1"/>
    <x v="2"/>
  </r>
  <r>
    <x v="281"/>
    <x v="17"/>
    <d v="2017-11-09T00:00:00"/>
    <n v="45"/>
    <n v="0.12916666666666668"/>
    <x v="183"/>
    <x v="135"/>
    <s v="0.000474"/>
    <n v="0.16250000000000001"/>
    <n v="-5798"/>
    <n v="0.27152777777777776"/>
    <x v="112"/>
    <x v="224"/>
    <n v="27"/>
    <n v="220600"/>
    <x v="6"/>
    <n v="3.68"/>
    <x v="1"/>
    <x v="1"/>
    <x v="2"/>
  </r>
  <r>
    <x v="282"/>
    <x v="17"/>
    <d v="2017-11-09T00:00:00"/>
    <n v="46"/>
    <n v="0.16874999999999998"/>
    <x v="204"/>
    <x v="219"/>
    <d v="1899-12-30T00:00:00"/>
    <n v="0.12361111111111112"/>
    <n v="-4991"/>
    <n v="0.49236111111111108"/>
    <x v="291"/>
    <x v="225"/>
    <n v="28"/>
    <n v="195706"/>
    <x v="6"/>
    <n v="3.26"/>
    <x v="0"/>
    <x v="1"/>
    <x v="2"/>
  </r>
  <r>
    <x v="258"/>
    <x v="18"/>
    <d v="2014-01-01T00:00:00"/>
    <n v="1"/>
    <n v="0.24166666666666667"/>
    <x v="203"/>
    <x v="157"/>
    <s v="1.64e-06"/>
    <n v="0.20972222222222223"/>
    <n v="-4762"/>
    <n v="0.22430555555555556"/>
    <x v="292"/>
    <x v="215"/>
    <n v="48"/>
    <n v="212600"/>
    <x v="7"/>
    <n v="3.54"/>
    <x v="1"/>
    <x v="1"/>
    <x v="1"/>
  </r>
  <r>
    <x v="283"/>
    <x v="18"/>
    <d v="2014-01-01T00:00:00"/>
    <n v="2"/>
    <n v="7.1527777777777773E-2"/>
    <x v="30"/>
    <x v="41"/>
    <d v="1899-12-30T00:00:00"/>
    <n v="0.63402777777777775"/>
    <n v="-5412"/>
    <s v="0.054"/>
    <x v="23"/>
    <x v="226"/>
    <n v="81"/>
    <n v="231826"/>
    <x v="7"/>
    <n v="3.86"/>
    <x v="0"/>
    <x v="1"/>
    <x v="0"/>
  </r>
  <r>
    <x v="284"/>
    <x v="18"/>
    <d v="2014-01-01T00:00:00"/>
    <n v="3"/>
    <s v="0.00245"/>
    <x v="125"/>
    <x v="115"/>
    <s v="0.00258"/>
    <n v="8.1944444444444445E-2"/>
    <n v="-5595"/>
    <n v="0.27916666666666667"/>
    <x v="293"/>
    <x v="8"/>
    <n v="79"/>
    <n v="231000"/>
    <x v="7"/>
    <n v="3.85"/>
    <x v="0"/>
    <x v="1"/>
    <x v="0"/>
  </r>
  <r>
    <x v="263"/>
    <x v="18"/>
    <d v="2014-01-01T00:00:00"/>
    <n v="4"/>
    <s v="0.000743"/>
    <x v="168"/>
    <x v="232"/>
    <s v="1.19e-05"/>
    <n v="0.23680555555555557"/>
    <n v="-6937"/>
    <n v="0.27499999999999997"/>
    <x v="294"/>
    <x v="227"/>
    <n v="59"/>
    <n v="235800"/>
    <x v="7"/>
    <n v="3.93"/>
    <x v="0"/>
    <x v="1"/>
    <x v="1"/>
  </r>
  <r>
    <x v="285"/>
    <x v="18"/>
    <d v="2014-01-01T00:00:00"/>
    <n v="5"/>
    <s v="0.00201"/>
    <x v="50"/>
    <x v="245"/>
    <s v="2.02e-05"/>
    <n v="7.013888888888889E-2"/>
    <n v="-5729"/>
    <n v="0.22430555555555556"/>
    <x v="295"/>
    <x v="37"/>
    <n v="47"/>
    <n v="193293"/>
    <x v="7"/>
    <n v="3.22"/>
    <x v="0"/>
    <x v="1"/>
    <x v="1"/>
  </r>
  <r>
    <x v="286"/>
    <x v="18"/>
    <d v="2014-01-01T00:00:00"/>
    <n v="6"/>
    <n v="0.44930555555555557"/>
    <x v="49"/>
    <x v="246"/>
    <d v="1899-12-30T00:00:00"/>
    <n v="0.23194444444444443"/>
    <n v="-5384"/>
    <n v="0.11458333333333333"/>
    <x v="296"/>
    <x v="228"/>
    <n v="80"/>
    <n v="219200"/>
    <x v="7"/>
    <n v="3.65"/>
    <x v="2"/>
    <x v="0"/>
    <x v="0"/>
  </r>
  <r>
    <x v="287"/>
    <x v="18"/>
    <d v="2014-01-01T00:00:00"/>
    <n v="7"/>
    <n v="0.10972222222222222"/>
    <x v="44"/>
    <x v="58"/>
    <s v="4.95e-05"/>
    <n v="7.0833333333333331E-2"/>
    <n v="-5966"/>
    <n v="0.37361111111111112"/>
    <x v="297"/>
    <x v="172"/>
    <n v="51"/>
    <n v="207440"/>
    <x v="7"/>
    <n v="3.46"/>
    <x v="0"/>
    <x v="1"/>
    <x v="1"/>
  </r>
  <r>
    <x v="288"/>
    <x v="18"/>
    <d v="2014-01-01T00:00:00"/>
    <n v="8"/>
    <n v="0.61458333333333337"/>
    <x v="217"/>
    <x v="247"/>
    <s v="6.16e-06"/>
    <n v="0.13958333333333334"/>
    <n v="-6104"/>
    <d v="1899-12-30T00:19:00"/>
    <x v="298"/>
    <x v="143"/>
    <n v="52"/>
    <n v="211933"/>
    <x v="7"/>
    <n v="3.53"/>
    <x v="0"/>
    <x v="1"/>
    <x v="1"/>
  </r>
  <r>
    <x v="239"/>
    <x v="18"/>
    <d v="2014-01-01T00:00:00"/>
    <n v="9"/>
    <n v="0.48055555555555557"/>
    <x v="191"/>
    <x v="213"/>
    <s v="0.00144"/>
    <n v="7.3611111111111113E-2"/>
    <n v="-7416"/>
    <n v="0.62291666666666667"/>
    <x v="299"/>
    <x v="229"/>
    <n v="52"/>
    <n v="220440"/>
    <x v="7"/>
    <n v="3.67"/>
    <x v="0"/>
    <x v="1"/>
    <x v="1"/>
  </r>
  <r>
    <x v="249"/>
    <x v="18"/>
    <d v="2014-01-01T00:00:00"/>
    <n v="10"/>
    <s v="0.00364"/>
    <x v="218"/>
    <x v="248"/>
    <s v="0.00868"/>
    <n v="0.63750000000000007"/>
    <n v="-6112"/>
    <n v="0.35000000000000003"/>
    <x v="300"/>
    <x v="166"/>
    <n v="55"/>
    <n v="247533"/>
    <x v="7"/>
    <n v="4.13"/>
    <x v="0"/>
    <x v="1"/>
    <x v="1"/>
  </r>
  <r>
    <x v="266"/>
    <x v="18"/>
    <d v="2014-01-01T00:00:00"/>
    <n v="11"/>
    <n v="0.47083333333333338"/>
    <x v="219"/>
    <x v="235"/>
    <d v="1899-12-30T00:00:00"/>
    <n v="0.64444444444444449"/>
    <n v="-8795"/>
    <n v="0.22291666666666665"/>
    <x v="301"/>
    <x v="230"/>
    <n v="50"/>
    <n v="250093"/>
    <x v="7"/>
    <n v="4.17"/>
    <x v="0"/>
    <x v="0"/>
    <x v="1"/>
  </r>
  <r>
    <x v="282"/>
    <x v="18"/>
    <d v="2014-01-01T00:00:00"/>
    <n v="12"/>
    <n v="0.17013888888888887"/>
    <x v="144"/>
    <x v="219"/>
    <d v="1899-12-30T00:00:00"/>
    <n v="0.12361111111111112"/>
    <n v="-4991"/>
    <s v="0.071"/>
    <x v="302"/>
    <x v="231"/>
    <n v="50"/>
    <n v="195706"/>
    <x v="7"/>
    <n v="3.26"/>
    <x v="0"/>
    <x v="1"/>
    <x v="1"/>
  </r>
  <r>
    <x v="289"/>
    <x v="18"/>
    <d v="2014-01-01T00:00:00"/>
    <n v="13"/>
    <n v="0.16111111111111112"/>
    <x v="220"/>
    <x v="113"/>
    <d v="1899-12-30T00:00:00"/>
    <d v="1899-12-30T00:01:00"/>
    <n v="-7754"/>
    <n v="0.24027777777777778"/>
    <x v="303"/>
    <x v="140"/>
    <n v="55"/>
    <n v="271000"/>
    <x v="7"/>
    <n v="4.5199999999999996"/>
    <x v="0"/>
    <x v="0"/>
    <x v="1"/>
  </r>
  <r>
    <x v="278"/>
    <x v="18"/>
    <d v="2014-01-01T00:00:00"/>
    <n v="14"/>
    <n v="0.34236111111111112"/>
    <x v="215"/>
    <x v="242"/>
    <s v="2.57e-05"/>
    <n v="0.12291666666666667"/>
    <n v="-5447"/>
    <n v="0.38125000000000003"/>
    <x v="304"/>
    <x v="50"/>
    <n v="55"/>
    <n v="245560"/>
    <x v="7"/>
    <n v="4.09"/>
    <x v="0"/>
    <x v="1"/>
    <x v="1"/>
  </r>
  <r>
    <x v="290"/>
    <x v="18"/>
    <d v="2014-01-01T00:00:00"/>
    <n v="15"/>
    <n v="0.4909722222222222"/>
    <x v="221"/>
    <x v="237"/>
    <s v="0.000108"/>
    <n v="0.62708333333333333"/>
    <n v="-8894"/>
    <n v="0.43194444444444446"/>
    <x v="305"/>
    <x v="232"/>
    <n v="55"/>
    <n v="267106"/>
    <x v="7"/>
    <n v="4.45"/>
    <x v="0"/>
    <x v="0"/>
    <x v="1"/>
  </r>
  <r>
    <x v="291"/>
    <x v="18"/>
    <d v="2014-01-01T00:00:00"/>
    <n v="16"/>
    <s v="0.00463"/>
    <x v="70"/>
    <x v="249"/>
    <s v="0.000458"/>
    <n v="0.45694444444444443"/>
    <s v="-5.87"/>
    <n v="0.49652777777777773"/>
    <x v="306"/>
    <x v="233"/>
    <n v="62"/>
    <n v="230466"/>
    <x v="7"/>
    <n v="3.84"/>
    <x v="1"/>
    <x v="1"/>
    <x v="1"/>
  </r>
  <r>
    <x v="292"/>
    <x v="18"/>
    <d v="2014-01-01T00:00:00"/>
    <n v="17"/>
    <n v="0.5756944444444444"/>
    <x v="137"/>
    <x v="250"/>
    <d v="1899-12-30T00:00:00"/>
    <n v="0.3659722222222222"/>
    <n v="-17932"/>
    <n v="0.40902777777777777"/>
    <x v="307"/>
    <x v="17"/>
    <n v="0"/>
    <n v="216333"/>
    <x v="7"/>
    <n v="3.61"/>
    <x v="0"/>
    <x v="0"/>
    <x v="2"/>
  </r>
  <r>
    <x v="293"/>
    <x v="18"/>
    <d v="2014-01-01T00:00:00"/>
    <n v="18"/>
    <n v="0.49791666666666662"/>
    <x v="222"/>
    <x v="179"/>
    <d v="1899-12-30T00:00:00"/>
    <n v="0.12847222222222224"/>
    <n v="-16394"/>
    <n v="0.6333333333333333"/>
    <x v="308"/>
    <x v="145"/>
    <n v="0"/>
    <n v="107133"/>
    <x v="7"/>
    <n v="1.79"/>
    <x v="1"/>
    <x v="0"/>
    <x v="2"/>
  </r>
  <r>
    <x v="294"/>
    <x v="18"/>
    <d v="2014-01-01T00:00:00"/>
    <n v="19"/>
    <n v="0.55625000000000002"/>
    <x v="188"/>
    <x v="166"/>
    <d v="1899-12-30T00:00:00"/>
    <n v="0.45624999999999999"/>
    <n v="-15064"/>
    <n v="0.50069444444444444"/>
    <x v="309"/>
    <x v="234"/>
    <n v="0"/>
    <n v="131186"/>
    <x v="7"/>
    <n v="2.19"/>
    <x v="1"/>
    <x v="0"/>
    <x v="2"/>
  </r>
  <r>
    <x v="258"/>
    <x v="19"/>
    <d v="2014-01-01T00:00:00"/>
    <n v="1"/>
    <s v="0.038"/>
    <x v="223"/>
    <x v="157"/>
    <s v="1.76e-06"/>
    <n v="0.21111111111111111"/>
    <n v="-4807"/>
    <n v="0.22500000000000001"/>
    <x v="310"/>
    <x v="235"/>
    <n v="59"/>
    <n v="212600"/>
    <x v="7"/>
    <n v="3.54"/>
    <x v="1"/>
    <x v="1"/>
    <x v="1"/>
  </r>
  <r>
    <x v="283"/>
    <x v="19"/>
    <d v="2014-01-01T00:00:00"/>
    <n v="2"/>
    <s v="0.085"/>
    <x v="224"/>
    <x v="251"/>
    <s v="1.64e-06"/>
    <d v="1899-12-30T00:13:00"/>
    <n v="-5421"/>
    <n v="0.44861111111111113"/>
    <x v="311"/>
    <x v="236"/>
    <n v="60"/>
    <n v="231826"/>
    <x v="7"/>
    <n v="3.86"/>
    <x v="1"/>
    <x v="1"/>
    <x v="1"/>
  </r>
  <r>
    <x v="284"/>
    <x v="19"/>
    <d v="2014-01-01T00:00:00"/>
    <n v="3"/>
    <s v="0.00256"/>
    <x v="118"/>
    <x v="90"/>
    <s v="0.00143"/>
    <n v="8.1250000000000003E-2"/>
    <n v="-5572"/>
    <n v="0.26527777777777778"/>
    <x v="312"/>
    <x v="237"/>
    <n v="56"/>
    <n v="231000"/>
    <x v="7"/>
    <n v="3.85"/>
    <x v="0"/>
    <x v="1"/>
    <x v="1"/>
  </r>
  <r>
    <x v="263"/>
    <x v="19"/>
    <d v="2014-01-01T00:00:00"/>
    <n v="4"/>
    <s v="0.00103"/>
    <x v="172"/>
    <x v="232"/>
    <s v="1.23e-05"/>
    <n v="0.23402777777777775"/>
    <n v="-6938"/>
    <n v="0.25833333333333336"/>
    <x v="313"/>
    <x v="238"/>
    <n v="46"/>
    <n v="235800"/>
    <x v="7"/>
    <n v="3.93"/>
    <x v="0"/>
    <x v="1"/>
    <x v="1"/>
  </r>
  <r>
    <x v="285"/>
    <x v="19"/>
    <d v="2014-01-01T00:00:00"/>
    <n v="5"/>
    <s v="0.00196"/>
    <x v="144"/>
    <x v="252"/>
    <s v="4.77e-05"/>
    <n v="7.2916666666666671E-2"/>
    <n v="-5778"/>
    <n v="0.23402777777777775"/>
    <x v="314"/>
    <x v="121"/>
    <n v="53"/>
    <n v="193293"/>
    <x v="7"/>
    <n v="3.22"/>
    <x v="0"/>
    <x v="1"/>
    <x v="1"/>
  </r>
  <r>
    <x v="286"/>
    <x v="19"/>
    <d v="2014-01-01T00:00:00"/>
    <n v="6"/>
    <n v="0.38958333333333334"/>
    <x v="225"/>
    <x v="228"/>
    <d v="1899-12-30T00:00:00"/>
    <n v="0.10277777777777779"/>
    <n v="-5414"/>
    <n v="0.11458333333333333"/>
    <x v="315"/>
    <x v="239"/>
    <n v="53"/>
    <n v="219200"/>
    <x v="7"/>
    <n v="3.65"/>
    <x v="2"/>
    <x v="1"/>
    <x v="1"/>
  </r>
  <r>
    <x v="287"/>
    <x v="19"/>
    <d v="2014-01-01T00:00:00"/>
    <n v="7"/>
    <s v="0.016"/>
    <x v="183"/>
    <x v="253"/>
    <s v="9.9e-05"/>
    <n v="7.5694444444444439E-2"/>
    <n v="-5963"/>
    <n v="0.35486111111111113"/>
    <x v="316"/>
    <x v="240"/>
    <n v="42"/>
    <n v="207440"/>
    <x v="7"/>
    <n v="3.46"/>
    <x v="0"/>
    <x v="1"/>
    <x v="1"/>
  </r>
  <r>
    <x v="288"/>
    <x v="19"/>
    <d v="2014-01-01T00:00:00"/>
    <n v="8"/>
    <n v="0.60486111111111118"/>
    <x v="226"/>
    <x v="254"/>
    <s v="6.45e-06"/>
    <n v="0.10277777777777779"/>
    <n v="-6114"/>
    <n v="0.12569444444444444"/>
    <x v="317"/>
    <x v="241"/>
    <n v="71"/>
    <n v="211933"/>
    <x v="7"/>
    <n v="3.53"/>
    <x v="0"/>
    <x v="1"/>
    <x v="0"/>
  </r>
  <r>
    <x v="239"/>
    <x v="19"/>
    <d v="2014-01-01T00:00:00"/>
    <n v="9"/>
    <n v="0.49236111111111108"/>
    <x v="168"/>
    <x v="255"/>
    <s v="0.0056"/>
    <n v="7.3611111111111113E-2"/>
    <n v="-7417"/>
    <n v="0.51458333333333328"/>
    <x v="318"/>
    <x v="242"/>
    <n v="75"/>
    <n v="220440"/>
    <x v="7"/>
    <n v="3.67"/>
    <x v="0"/>
    <x v="1"/>
    <x v="0"/>
  </r>
  <r>
    <x v="249"/>
    <x v="19"/>
    <d v="2014-01-01T00:00:00"/>
    <n v="10"/>
    <s v="0.00463"/>
    <x v="197"/>
    <x v="256"/>
    <s v="0.00458"/>
    <n v="0.63541666666666663"/>
    <n v="-6136"/>
    <n v="0.34166666666666662"/>
    <x v="319"/>
    <x v="243"/>
    <n v="43"/>
    <n v="247533"/>
    <x v="7"/>
    <n v="4.13"/>
    <x v="0"/>
    <x v="1"/>
    <x v="1"/>
  </r>
  <r>
    <x v="266"/>
    <x v="19"/>
    <d v="2014-01-01T00:00:00"/>
    <n v="11"/>
    <n v="0.44097222222222227"/>
    <x v="21"/>
    <x v="160"/>
    <d v="1899-12-30T00:00:00"/>
    <n v="7.013888888888889E-2"/>
    <n v="-8768"/>
    <n v="0.23402777777777775"/>
    <x v="320"/>
    <x v="244"/>
    <n v="42"/>
    <n v="250093"/>
    <x v="7"/>
    <n v="4.17"/>
    <x v="1"/>
    <x v="0"/>
    <x v="1"/>
  </r>
  <r>
    <x v="282"/>
    <x v="19"/>
    <d v="2014-01-01T00:00:00"/>
    <n v="12"/>
    <n v="0.16041666666666668"/>
    <x v="149"/>
    <x v="257"/>
    <d v="1899-12-30T00:00:00"/>
    <d v="1899-12-30T00:02:00"/>
    <n v="-4991"/>
    <n v="0.45902777777777781"/>
    <x v="321"/>
    <x v="245"/>
    <n v="43"/>
    <n v="195706"/>
    <x v="7"/>
    <n v="3.26"/>
    <x v="0"/>
    <x v="1"/>
    <x v="1"/>
  </r>
  <r>
    <x v="289"/>
    <x v="19"/>
    <d v="2014-01-01T00:00:00"/>
    <n v="13"/>
    <n v="0.16805555555555554"/>
    <x v="227"/>
    <x v="182"/>
    <d v="1899-12-30T00:00:00"/>
    <n v="7.8472222222222221E-2"/>
    <n v="-7755"/>
    <s v="0.035"/>
    <x v="322"/>
    <x v="140"/>
    <n v="42"/>
    <n v="271000"/>
    <x v="7"/>
    <n v="4.5199999999999996"/>
    <x v="0"/>
    <x v="0"/>
    <x v="1"/>
  </r>
  <r>
    <x v="253"/>
    <x v="20"/>
    <d v="2012-10-22T00:00:00"/>
    <n v="1"/>
    <s v="0.000197"/>
    <x v="125"/>
    <x v="258"/>
    <s v="0.00138"/>
    <n v="0.61388888888888882"/>
    <n v="-5882"/>
    <n v="0.22777777777777777"/>
    <x v="323"/>
    <x v="246"/>
    <n v="43"/>
    <n v="295720"/>
    <x v="8"/>
    <n v="4.93"/>
    <x v="0"/>
    <x v="1"/>
    <x v="1"/>
  </r>
  <r>
    <x v="241"/>
    <x v="20"/>
    <d v="2012-10-22T00:00:00"/>
    <n v="2"/>
    <n v="0.53680555555555554"/>
    <x v="144"/>
    <x v="259"/>
    <s v="8.87e-05"/>
    <n v="0.63263888888888886"/>
    <n v="-4267"/>
    <n v="0.3034722222222222"/>
    <x v="324"/>
    <x v="247"/>
    <n v="54"/>
    <n v="223093"/>
    <x v="8"/>
    <n v="3.72"/>
    <x v="1"/>
    <x v="1"/>
    <x v="1"/>
  </r>
  <r>
    <x v="256"/>
    <x v="20"/>
    <d v="2012-10-22T00:00:00"/>
    <n v="3"/>
    <n v="7.013888888888889E-2"/>
    <x v="201"/>
    <x v="227"/>
    <s v="4.3e-06"/>
    <d v="1899-12-30T00:14:00"/>
    <n v="-8086"/>
    <n v="0.23194444444444443"/>
    <x v="325"/>
    <x v="74"/>
    <n v="41"/>
    <n v="242760"/>
    <x v="8"/>
    <n v="4.05"/>
    <x v="0"/>
    <x v="1"/>
    <x v="1"/>
  </r>
  <r>
    <x v="246"/>
    <x v="20"/>
    <d v="2012-10-22T00:00:00"/>
    <n v="4"/>
    <s v="0.00454"/>
    <x v="96"/>
    <x v="208"/>
    <s v="2.25e-06"/>
    <n v="0.23263888888888887"/>
    <n v="-6798"/>
    <n v="0.25208333333333333"/>
    <x v="326"/>
    <x v="248"/>
    <n v="59"/>
    <n v="219720"/>
    <x v="8"/>
    <n v="3.66"/>
    <x v="1"/>
    <x v="0"/>
    <x v="1"/>
  </r>
  <r>
    <x v="238"/>
    <x v="20"/>
    <d v="2012-10-22T00:00:00"/>
    <n v="5"/>
    <n v="0.26527777777777778"/>
    <x v="144"/>
    <x v="260"/>
    <s v="0.0002"/>
    <n v="8.8888888888888892E-2"/>
    <n v="-7803"/>
    <n v="0.16874999999999998"/>
    <x v="327"/>
    <x v="249"/>
    <n v="59"/>
    <n v="329160"/>
    <x v="8"/>
    <n v="5.49"/>
    <x v="0"/>
    <x v="1"/>
    <x v="1"/>
  </r>
  <r>
    <x v="245"/>
    <x v="20"/>
    <d v="2012-10-22T00:00:00"/>
    <n v="6"/>
    <s v="0.00215"/>
    <x v="10"/>
    <x v="261"/>
    <s v="0.0013"/>
    <n v="0.33124999999999999"/>
    <n v="-6561"/>
    <n v="0.26111111111111113"/>
    <x v="328"/>
    <x v="250"/>
    <n v="59"/>
    <n v="232120"/>
    <x v="8"/>
    <n v="3.87"/>
    <x v="1"/>
    <x v="1"/>
    <x v="1"/>
  </r>
  <r>
    <x v="295"/>
    <x v="20"/>
    <d v="2012-10-22T00:00:00"/>
    <n v="7"/>
    <n v="0.12013888888888889"/>
    <x v="93"/>
    <x v="262"/>
    <s v="4.13e-05"/>
    <n v="0.12638888888888888"/>
    <n v="-7357"/>
    <s v="0.027"/>
    <x v="329"/>
    <x v="217"/>
    <n v="43"/>
    <n v="244560"/>
    <x v="8"/>
    <n v="4.08"/>
    <x v="0"/>
    <x v="0"/>
    <x v="1"/>
  </r>
  <r>
    <x v="296"/>
    <x v="20"/>
    <d v="2012-10-22T00:00:00"/>
    <n v="8"/>
    <s v="0.00957"/>
    <x v="99"/>
    <x v="263"/>
    <s v="2.65e-05"/>
    <n v="8.4027777777777771E-2"/>
    <n v="-5911"/>
    <n v="0.63611111111111118"/>
    <x v="330"/>
    <x v="251"/>
    <n v="59"/>
    <n v="193146"/>
    <x v="8"/>
    <n v="3.22"/>
    <x v="0"/>
    <x v="1"/>
    <x v="1"/>
  </r>
  <r>
    <x v="297"/>
    <x v="20"/>
    <d v="2012-10-22T00:00:00"/>
    <n v="9"/>
    <n v="0.21319444444444444"/>
    <x v="228"/>
    <x v="264"/>
    <s v="1.29e-06"/>
    <n v="0.66805555555555562"/>
    <s v="-6.67"/>
    <n v="0.17013888888888887"/>
    <x v="331"/>
    <x v="252"/>
    <n v="43"/>
    <n v="205853"/>
    <x v="8"/>
    <n v="3.43"/>
    <x v="2"/>
    <x v="1"/>
    <x v="1"/>
  </r>
  <r>
    <x v="298"/>
    <x v="20"/>
    <d v="2012-10-22T00:00:00"/>
    <n v="10"/>
    <s v="0.035"/>
    <x v="57"/>
    <x v="265"/>
    <s v="3.15e-06"/>
    <n v="0.62916666666666665"/>
    <n v="-7039"/>
    <n v="0.19166666666666665"/>
    <x v="332"/>
    <x v="253"/>
    <n v="45"/>
    <n v="299013"/>
    <x v="8"/>
    <n v="4.9800000000000004"/>
    <x v="0"/>
    <x v="0"/>
    <x v="1"/>
  </r>
  <r>
    <x v="242"/>
    <x v="20"/>
    <d v="2012-10-22T00:00:00"/>
    <n v="11"/>
    <n v="0.1125"/>
    <x v="114"/>
    <x v="216"/>
    <s v="0.00208"/>
    <n v="0.67013888888888884"/>
    <n v="-6698"/>
    <n v="0.53749999999999998"/>
    <x v="254"/>
    <x v="206"/>
    <n v="41"/>
    <n v="202960"/>
    <x v="8"/>
    <n v="3.38"/>
    <x v="1"/>
    <x v="1"/>
    <x v="1"/>
  </r>
  <r>
    <x v="299"/>
    <x v="20"/>
    <d v="2012-10-22T00:00:00"/>
    <n v="12"/>
    <n v="0.43888888888888888"/>
    <x v="37"/>
    <x v="266"/>
    <n v="0.23402777777777775"/>
    <n v="0.55902777777777779"/>
    <n v="-12411"/>
    <s v="0.029"/>
    <x v="333"/>
    <x v="86"/>
    <n v="40"/>
    <n v="284866"/>
    <x v="8"/>
    <n v="4.75"/>
    <x v="0"/>
    <x v="0"/>
    <x v="1"/>
  </r>
  <r>
    <x v="267"/>
    <x v="20"/>
    <d v="2012-10-22T00:00:00"/>
    <n v="13"/>
    <n v="0.25763888888888892"/>
    <x v="207"/>
    <x v="267"/>
    <d v="1899-12-30T00:00:00"/>
    <n v="9.1666666666666674E-2"/>
    <n v="-7675"/>
    <n v="0.25625000000000003"/>
    <x v="334"/>
    <x v="166"/>
    <n v="40"/>
    <n v="240266"/>
    <x v="8"/>
    <n v="4"/>
    <x v="0"/>
    <x v="0"/>
    <x v="1"/>
  </r>
  <r>
    <x v="300"/>
    <x v="20"/>
    <d v="2012-10-22T00:00:00"/>
    <n v="14"/>
    <d v="1899-12-30T00:36:00"/>
    <x v="37"/>
    <x v="268"/>
    <s v="3.89e-06"/>
    <n v="0.21597222222222223"/>
    <n v="-6755"/>
    <n v="0.19930555555555554"/>
    <x v="335"/>
    <x v="28"/>
    <n v="52"/>
    <n v="245413"/>
    <x v="8"/>
    <n v="4.09"/>
    <x v="0"/>
    <x v="0"/>
    <x v="1"/>
  </r>
  <r>
    <x v="281"/>
    <x v="20"/>
    <d v="2012-10-22T00:00:00"/>
    <n v="15"/>
    <n v="0.14791666666666667"/>
    <x v="183"/>
    <x v="93"/>
    <s v="0.000335"/>
    <d v="1899-12-30T00:21:00"/>
    <n v="-5804"/>
    <n v="0.28194444444444444"/>
    <x v="336"/>
    <x v="254"/>
    <n v="41"/>
    <n v="220600"/>
    <x v="8"/>
    <n v="3.68"/>
    <x v="1"/>
    <x v="1"/>
    <x v="1"/>
  </r>
  <r>
    <x v="272"/>
    <x v="20"/>
    <d v="2012-10-22T00:00:00"/>
    <n v="16"/>
    <n v="0.13819444444444445"/>
    <x v="229"/>
    <x v="239"/>
    <s v="3.52e-06"/>
    <d v="1899-12-30T00:14:00"/>
    <n v="-8349"/>
    <n v="0.18263888888888891"/>
    <x v="337"/>
    <x v="255"/>
    <n v="45"/>
    <n v="239426"/>
    <x v="8"/>
    <n v="3.99"/>
    <x v="0"/>
    <x v="0"/>
    <x v="1"/>
  </r>
  <r>
    <x v="301"/>
    <x v="20"/>
    <d v="2012-10-22T00:00:00"/>
    <n v="17"/>
    <n v="0.12986111111111112"/>
    <x v="162"/>
    <x v="269"/>
    <s v="1.47e-05"/>
    <n v="7.013888888888889E-2"/>
    <n v="-7327"/>
    <n v="0.21875"/>
    <x v="338"/>
    <x v="256"/>
    <n v="38"/>
    <n v="286613"/>
    <x v="8"/>
    <n v="4.78"/>
    <x v="0"/>
    <x v="0"/>
    <x v="2"/>
  </r>
  <r>
    <x v="264"/>
    <x v="20"/>
    <d v="2012-10-22T00:00:00"/>
    <n v="18"/>
    <s v="0.00471"/>
    <x v="230"/>
    <x v="233"/>
    <s v="2.01e-06"/>
    <n v="0.69236111111111109"/>
    <n v="-6291"/>
    <n v="0.1763888888888889"/>
    <x v="339"/>
    <x v="212"/>
    <n v="43"/>
    <n v="223920"/>
    <x v="8"/>
    <n v="3.73"/>
    <x v="0"/>
    <x v="0"/>
    <x v="1"/>
  </r>
  <r>
    <x v="302"/>
    <x v="20"/>
    <d v="2012-10-22T00:00:00"/>
    <n v="19"/>
    <n v="0.18888888888888888"/>
    <x v="231"/>
    <x v="270"/>
    <d v="1899-12-30T00:00:00"/>
    <n v="9.3055555555555558E-2"/>
    <s v="-5.86"/>
    <n v="0.19722222222222222"/>
    <x v="340"/>
    <x v="190"/>
    <n v="37"/>
    <n v="220840"/>
    <x v="8"/>
    <n v="3.68"/>
    <x v="1"/>
    <x v="0"/>
    <x v="2"/>
  </r>
  <r>
    <x v="303"/>
    <x v="20"/>
    <d v="2012-10-22T00:00:00"/>
    <n v="20"/>
    <n v="0.12152777777777778"/>
    <x v="232"/>
    <x v="271"/>
    <s v="6.14e-05"/>
    <n v="0.68819444444444444"/>
    <n v="-8248"/>
    <n v="0.24652777777777779"/>
    <x v="193"/>
    <x v="38"/>
    <n v="34"/>
    <n v="240266"/>
    <x v="8"/>
    <n v="4"/>
    <x v="0"/>
    <x v="0"/>
    <x v="2"/>
  </r>
  <r>
    <x v="304"/>
    <x v="20"/>
    <d v="2012-10-22T00:00:00"/>
    <n v="21"/>
    <n v="7.8472222222222221E-2"/>
    <x v="110"/>
    <x v="272"/>
    <s v="0.000235"/>
    <n v="0.48958333333333331"/>
    <n v="-4659"/>
    <n v="0.24861111111111112"/>
    <x v="341"/>
    <x v="257"/>
    <n v="36"/>
    <n v="227080"/>
    <x v="8"/>
    <n v="3.78"/>
    <x v="1"/>
    <x v="1"/>
    <x v="2"/>
  </r>
  <r>
    <x v="305"/>
    <x v="20"/>
    <d v="2012-10-22T00:00:00"/>
    <n v="22"/>
    <n v="0.46111111111111108"/>
    <x v="8"/>
    <x v="273"/>
    <s v="0.000169"/>
    <n v="8.819444444444445E-2"/>
    <s v="-15.91"/>
    <n v="0.21180555555555555"/>
    <x v="342"/>
    <x v="258"/>
    <n v="37"/>
    <n v="323080"/>
    <x v="8"/>
    <n v="5.38"/>
    <x v="1"/>
    <x v="0"/>
    <x v="2"/>
  </r>
  <r>
    <x v="253"/>
    <x v="21"/>
    <d v="2012-10-22T00:00:00"/>
    <n v="1"/>
    <s v="0.000197"/>
    <x v="125"/>
    <x v="258"/>
    <s v="0.00138"/>
    <n v="0.61458333333333337"/>
    <n v="-5882"/>
    <n v="0.22777777777777777"/>
    <x v="323"/>
    <x v="246"/>
    <n v="40"/>
    <n v="295186"/>
    <x v="8"/>
    <n v="4.92"/>
    <x v="0"/>
    <x v="1"/>
    <x v="1"/>
  </r>
  <r>
    <x v="241"/>
    <x v="21"/>
    <d v="2012-10-22T00:00:00"/>
    <n v="2"/>
    <n v="0.53680555555555554"/>
    <x v="144"/>
    <x v="259"/>
    <s v="8.87e-05"/>
    <s v="0.091"/>
    <n v="-4267"/>
    <n v="0.3034722222222222"/>
    <x v="324"/>
    <x v="247"/>
    <n v="58"/>
    <n v="220826"/>
    <x v="8"/>
    <n v="3.68"/>
    <x v="1"/>
    <x v="1"/>
    <x v="1"/>
  </r>
  <r>
    <x v="256"/>
    <x v="21"/>
    <d v="2012-10-22T00:00:00"/>
    <n v="3"/>
    <n v="7.013888888888889E-2"/>
    <x v="233"/>
    <x v="227"/>
    <s v="4.3e-06"/>
    <n v="0.10208333333333335"/>
    <n v="-8086"/>
    <n v="0.23194444444444443"/>
    <x v="193"/>
    <x v="74"/>
    <n v="38"/>
    <n v="240773"/>
    <x v="8"/>
    <n v="4.01"/>
    <x v="0"/>
    <x v="1"/>
    <x v="2"/>
  </r>
  <r>
    <x v="246"/>
    <x v="21"/>
    <d v="2012-10-22T00:00:00"/>
    <n v="4"/>
    <s v="0.00454"/>
    <x v="96"/>
    <x v="208"/>
    <s v="2.25e-06"/>
    <n v="0.27638888888888891"/>
    <n v="-6798"/>
    <n v="0.25208333333333333"/>
    <x v="326"/>
    <x v="248"/>
    <n v="61"/>
    <n v="217973"/>
    <x v="8"/>
    <n v="3.63"/>
    <x v="1"/>
    <x v="0"/>
    <x v="1"/>
  </r>
  <r>
    <x v="238"/>
    <x v="21"/>
    <d v="2012-10-22T00:00:00"/>
    <n v="5"/>
    <n v="0.26527777777777778"/>
    <x v="144"/>
    <x v="260"/>
    <s v="0.0002"/>
    <n v="8.819444444444445E-2"/>
    <n v="-7803"/>
    <n v="0.16874999999999998"/>
    <x v="327"/>
    <x v="249"/>
    <n v="44"/>
    <n v="327893"/>
    <x v="8"/>
    <n v="5.46"/>
    <x v="0"/>
    <x v="1"/>
    <x v="1"/>
  </r>
  <r>
    <x v="245"/>
    <x v="21"/>
    <d v="2012-10-22T00:00:00"/>
    <n v="6"/>
    <s v="0.00215"/>
    <x v="234"/>
    <x v="261"/>
    <s v="0.0013"/>
    <n v="0.52222222222222225"/>
    <n v="-6561"/>
    <n v="0.26250000000000001"/>
    <x v="343"/>
    <x v="250"/>
    <n v="53"/>
    <n v="230133"/>
    <x v="8"/>
    <n v="3.84"/>
    <x v="1"/>
    <x v="1"/>
    <x v="1"/>
  </r>
  <r>
    <x v="295"/>
    <x v="21"/>
    <d v="2012-10-22T00:00:00"/>
    <n v="7"/>
    <n v="0.12013888888888889"/>
    <x v="93"/>
    <x v="262"/>
    <s v="4.13e-05"/>
    <n v="0.12638888888888888"/>
    <n v="-7357"/>
    <s v="0.027"/>
    <x v="329"/>
    <x v="217"/>
    <n v="39"/>
    <n v="242573"/>
    <x v="8"/>
    <n v="4.04"/>
    <x v="0"/>
    <x v="0"/>
    <x v="2"/>
  </r>
  <r>
    <x v="296"/>
    <x v="21"/>
    <d v="2012-10-22T00:00:00"/>
    <n v="8"/>
    <s v="0.00957"/>
    <x v="99"/>
    <x v="263"/>
    <s v="2.65e-05"/>
    <n v="7.0833333333333331E-2"/>
    <n v="-5911"/>
    <n v="0.63611111111111118"/>
    <x v="330"/>
    <x v="251"/>
    <n v="59"/>
    <n v="191880"/>
    <x v="8"/>
    <n v="3.2"/>
    <x v="0"/>
    <x v="1"/>
    <x v="1"/>
  </r>
  <r>
    <x v="297"/>
    <x v="21"/>
    <d v="2012-10-22T00:00:00"/>
    <n v="9"/>
    <n v="0.21319444444444444"/>
    <x v="228"/>
    <x v="264"/>
    <s v="1.29e-06"/>
    <d v="1899-12-30T00:09:00"/>
    <s v="-6.67"/>
    <n v="0.17013888888888887"/>
    <x v="331"/>
    <x v="252"/>
    <n v="39"/>
    <n v="204826"/>
    <x v="8"/>
    <n v="3.41"/>
    <x v="2"/>
    <x v="1"/>
    <x v="2"/>
  </r>
  <r>
    <x v="298"/>
    <x v="21"/>
    <d v="2012-10-22T00:00:00"/>
    <n v="10"/>
    <s v="0.035"/>
    <x v="57"/>
    <x v="265"/>
    <s v="3.15e-06"/>
    <n v="0.63958333333333328"/>
    <n v="-7039"/>
    <n v="0.19166666666666665"/>
    <x v="332"/>
    <x v="253"/>
    <n v="38"/>
    <n v="298293"/>
    <x v="8"/>
    <n v="4.97"/>
    <x v="0"/>
    <x v="0"/>
    <x v="2"/>
  </r>
  <r>
    <x v="242"/>
    <x v="21"/>
    <d v="2012-10-22T00:00:00"/>
    <n v="11"/>
    <n v="0.1125"/>
    <x v="114"/>
    <x v="216"/>
    <s v="0.00208"/>
    <n v="0.67083333333333339"/>
    <n v="-6698"/>
    <n v="0.53749999999999998"/>
    <x v="254"/>
    <x v="206"/>
    <n v="37"/>
    <n v="201853"/>
    <x v="8"/>
    <n v="3.36"/>
    <x v="1"/>
    <x v="1"/>
    <x v="2"/>
  </r>
  <r>
    <x v="299"/>
    <x v="21"/>
    <d v="2012-10-22T00:00:00"/>
    <n v="12"/>
    <n v="0.43888888888888888"/>
    <x v="37"/>
    <x v="266"/>
    <n v="0.23402777777777775"/>
    <n v="8.4027777777777771E-2"/>
    <n v="-12411"/>
    <s v="0.029"/>
    <x v="333"/>
    <x v="86"/>
    <n v="35"/>
    <n v="283680"/>
    <x v="8"/>
    <n v="4.7300000000000004"/>
    <x v="0"/>
    <x v="0"/>
    <x v="2"/>
  </r>
  <r>
    <x v="267"/>
    <x v="21"/>
    <d v="2012-10-22T00:00:00"/>
    <n v="13"/>
    <n v="0.25763888888888892"/>
    <x v="207"/>
    <x v="267"/>
    <d v="1899-12-30T00:00:00"/>
    <n v="9.1666666666666674E-2"/>
    <n v="-7675"/>
    <n v="0.25625000000000003"/>
    <x v="334"/>
    <x v="166"/>
    <n v="36"/>
    <n v="240133"/>
    <x v="8"/>
    <n v="4"/>
    <x v="0"/>
    <x v="0"/>
    <x v="2"/>
  </r>
  <r>
    <x v="300"/>
    <x v="21"/>
    <d v="2012-10-22T00:00:00"/>
    <n v="14"/>
    <d v="1899-12-30T00:36:00"/>
    <x v="37"/>
    <x v="268"/>
    <s v="3.89e-06"/>
    <n v="0.21041666666666667"/>
    <n v="-6755"/>
    <n v="0.19930555555555554"/>
    <x v="344"/>
    <x v="28"/>
    <n v="50"/>
    <n v="243933"/>
    <x v="8"/>
    <n v="4.07"/>
    <x v="0"/>
    <x v="0"/>
    <x v="1"/>
  </r>
  <r>
    <x v="281"/>
    <x v="21"/>
    <d v="2012-10-22T00:00:00"/>
    <n v="15"/>
    <n v="0.14791666666666667"/>
    <x v="183"/>
    <x v="93"/>
    <s v="0.000335"/>
    <n v="0.1534722222222222"/>
    <n v="-5804"/>
    <n v="0.28194444444444444"/>
    <x v="336"/>
    <x v="254"/>
    <n v="37"/>
    <n v="217826"/>
    <x v="8"/>
    <n v="3.63"/>
    <x v="1"/>
    <x v="1"/>
    <x v="2"/>
  </r>
  <r>
    <x v="272"/>
    <x v="21"/>
    <d v="2012-10-22T00:00:00"/>
    <n v="16"/>
    <n v="0.13819444444444445"/>
    <x v="229"/>
    <x v="239"/>
    <s v="3.52e-06"/>
    <n v="0.16111111111111112"/>
    <n v="-8349"/>
    <n v="0.18263888888888891"/>
    <x v="337"/>
    <x v="255"/>
    <n v="56"/>
    <n v="237613"/>
    <x v="8"/>
    <n v="3.96"/>
    <x v="0"/>
    <x v="0"/>
    <x v="1"/>
  </r>
  <r>
    <x v="306"/>
    <x v="22"/>
    <d v="2010-10-25T00:00:00"/>
    <n v="1"/>
    <s v="0.00917"/>
    <x v="27"/>
    <x v="274"/>
    <d v="1899-12-30T00:00:00"/>
    <n v="0.63750000000000007"/>
    <n v="-5184"/>
    <n v="0.27291666666666664"/>
    <x v="345"/>
    <x v="31"/>
    <n v="42"/>
    <n v="336826"/>
    <x v="9"/>
    <n v="5.61"/>
    <x v="0"/>
    <x v="1"/>
    <x v="1"/>
  </r>
  <r>
    <x v="307"/>
    <x v="22"/>
    <d v="2010-10-25T00:00:00"/>
    <n v="2"/>
    <s v="0.00233"/>
    <x v="235"/>
    <x v="275"/>
    <d v="1899-12-30T00:00:00"/>
    <n v="0.38472222222222219"/>
    <n v="-4775"/>
    <n v="0.2590277777777778"/>
    <x v="346"/>
    <x v="259"/>
    <n v="40"/>
    <n v="259279"/>
    <x v="9"/>
    <n v="4.32"/>
    <x v="0"/>
    <x v="1"/>
    <x v="1"/>
  </r>
  <r>
    <x v="308"/>
    <x v="22"/>
    <d v="2010-10-25T00:00:00"/>
    <n v="3"/>
    <s v="0.00048"/>
    <x v="236"/>
    <x v="276"/>
    <d v="1899-12-30T00:00:00"/>
    <n v="0.56597222222222221"/>
    <n v="-5156"/>
    <n v="0.45208333333333334"/>
    <x v="347"/>
    <x v="121"/>
    <n v="40"/>
    <n v="290520"/>
    <x v="9"/>
    <n v="4.84"/>
    <x v="0"/>
    <x v="1"/>
    <x v="1"/>
  </r>
  <r>
    <x v="309"/>
    <x v="22"/>
    <d v="2010-10-25T00:00:00"/>
    <n v="4"/>
    <n v="0.10694444444444445"/>
    <x v="237"/>
    <x v="277"/>
    <d v="1899-12-30T00:00:00"/>
    <n v="0.48125000000000001"/>
    <n v="-4373"/>
    <s v="0.069"/>
    <x v="348"/>
    <x v="260"/>
    <n v="40"/>
    <n v="246373"/>
    <x v="9"/>
    <n v="4.1100000000000003"/>
    <x v="0"/>
    <x v="1"/>
    <x v="1"/>
  </r>
  <r>
    <x v="310"/>
    <x v="22"/>
    <d v="2010-10-25T00:00:00"/>
    <n v="5"/>
    <n v="0.49652777777777773"/>
    <x v="24"/>
    <x v="278"/>
    <d v="1899-12-30T00:00:00"/>
    <n v="0.6020833333333333"/>
    <s v="-10.21"/>
    <n v="0.20694444444444446"/>
    <x v="349"/>
    <x v="41"/>
    <n v="39"/>
    <n v="245973"/>
    <x v="9"/>
    <n v="4.0999999999999996"/>
    <x v="0"/>
    <x v="0"/>
    <x v="2"/>
  </r>
  <r>
    <x v="311"/>
    <x v="22"/>
    <d v="2010-10-25T00:00:00"/>
    <n v="6"/>
    <n v="0.1076388888888889"/>
    <x v="238"/>
    <x v="279"/>
    <d v="1899-12-30T00:00:00"/>
    <n v="0.55208333333333337"/>
    <n v="-8745"/>
    <n v="0.20416666666666669"/>
    <x v="350"/>
    <x v="129"/>
    <n v="47"/>
    <n v="362826"/>
    <x v="9"/>
    <n v="6.05"/>
    <x v="0"/>
    <x v="0"/>
    <x v="1"/>
  </r>
  <r>
    <x v="312"/>
    <x v="22"/>
    <d v="2010-10-25T00:00:00"/>
    <n v="7"/>
    <s v="0.00306"/>
    <x v="104"/>
    <x v="280"/>
    <s v="2.67e-05"/>
    <n v="0.64652777777777781"/>
    <n v="-5629"/>
    <n v="0.53333333333333333"/>
    <x v="351"/>
    <x v="204"/>
    <n v="41"/>
    <n v="344573"/>
    <x v="9"/>
    <n v="5.74"/>
    <x v="0"/>
    <x v="1"/>
    <x v="1"/>
  </r>
  <r>
    <x v="313"/>
    <x v="22"/>
    <d v="2010-10-25T00:00:00"/>
    <n v="8"/>
    <n v="0.44166666666666665"/>
    <x v="87"/>
    <x v="281"/>
    <s v="1.28e-06"/>
    <n v="5.7638888888888885E-2"/>
    <n v="-5251"/>
    <n v="0.22083333333333333"/>
    <x v="352"/>
    <x v="261"/>
    <n v="40"/>
    <n v="248146"/>
    <x v="9"/>
    <n v="4.1399999999999997"/>
    <x v="0"/>
    <x v="1"/>
    <x v="1"/>
  </r>
  <r>
    <x v="314"/>
    <x v="22"/>
    <d v="2010-10-25T00:00:00"/>
    <n v="9"/>
    <n v="0.1423611111111111"/>
    <x v="239"/>
    <x v="282"/>
    <s v="8.73e-06"/>
    <n v="0.48680555555555555"/>
    <n v="-12551"/>
    <n v="0.20208333333333331"/>
    <x v="353"/>
    <x v="262"/>
    <n v="40"/>
    <n v="369066"/>
    <x v="9"/>
    <n v="6.15"/>
    <x v="0"/>
    <x v="0"/>
    <x v="1"/>
  </r>
  <r>
    <x v="315"/>
    <x v="22"/>
    <d v="2010-10-25T00:00:00"/>
    <n v="10"/>
    <n v="0.55972222222222223"/>
    <x v="238"/>
    <x v="210"/>
    <d v="1899-12-30T00:00:00"/>
    <n v="5.2777777777777778E-2"/>
    <n v="-8407"/>
    <n v="0.2722222222222222"/>
    <x v="354"/>
    <x v="263"/>
    <n v="46"/>
    <n v="315173"/>
    <x v="9"/>
    <n v="5.25"/>
    <x v="0"/>
    <x v="0"/>
    <x v="1"/>
  </r>
  <r>
    <x v="316"/>
    <x v="22"/>
    <d v="2010-10-25T00:00:00"/>
    <n v="11"/>
    <n v="0.49513888888888885"/>
    <x v="240"/>
    <x v="118"/>
    <d v="1899-12-30T00:00:00"/>
    <n v="0.58124999999999993"/>
    <n v="-9287"/>
    <n v="0.22361111111111109"/>
    <x v="355"/>
    <x v="165"/>
    <n v="42"/>
    <n v="189146"/>
    <x v="9"/>
    <n v="3.15"/>
    <x v="0"/>
    <x v="0"/>
    <x v="1"/>
  </r>
  <r>
    <x v="317"/>
    <x v="22"/>
    <d v="2010-10-25T00:00:00"/>
    <n v="12"/>
    <n v="0.55138888888888882"/>
    <x v="194"/>
    <x v="283"/>
    <s v="0.000122"/>
    <n v="0.34513888888888888"/>
    <n v="-6794"/>
    <n v="0.23680555555555557"/>
    <x v="356"/>
    <x v="264"/>
    <n v="40"/>
    <n v="83253"/>
    <x v="9"/>
    <n v="1.39"/>
    <x v="0"/>
    <x v="0"/>
    <x v="1"/>
  </r>
  <r>
    <x v="318"/>
    <x v="22"/>
    <d v="2010-10-25T00:00:00"/>
    <n v="13"/>
    <n v="0.10902777777777778"/>
    <x v="5"/>
    <x v="0"/>
    <d v="1899-12-30T00:00:00"/>
    <n v="0.61388888888888882"/>
    <n v="-8784"/>
    <n v="0.20902777777777778"/>
    <x v="357"/>
    <x v="265"/>
    <n v="40"/>
    <n v="404680"/>
    <x v="9"/>
    <n v="6.74"/>
    <x v="0"/>
    <x v="0"/>
    <x v="1"/>
  </r>
  <r>
    <x v="319"/>
    <x v="22"/>
    <d v="2010-10-25T00:00:00"/>
    <n v="14"/>
    <n v="0.51874999999999993"/>
    <x v="241"/>
    <x v="37"/>
    <s v="2.34e-06"/>
    <n v="0.39097222222222222"/>
    <n v="-5597"/>
    <n v="0.2298611111111111"/>
    <x v="358"/>
    <x v="15"/>
    <n v="42"/>
    <n v="389213"/>
    <x v="9"/>
    <n v="6.49"/>
    <x v="0"/>
    <x v="1"/>
    <x v="1"/>
  </r>
  <r>
    <x v="320"/>
    <x v="22"/>
    <d v="2010-10-25T00:00:00"/>
    <n v="15"/>
    <n v="0.17013888888888887"/>
    <x v="242"/>
    <x v="284"/>
    <d v="1899-12-30T00:00:00"/>
    <n v="0.61736111111111114"/>
    <n v="-7495"/>
    <n v="0.3444444444444445"/>
    <x v="359"/>
    <x v="266"/>
    <n v="41"/>
    <n v="292426"/>
    <x v="9"/>
    <n v="4.87"/>
    <x v="0"/>
    <x v="1"/>
    <x v="1"/>
  </r>
  <r>
    <x v="321"/>
    <x v="22"/>
    <d v="2010-10-25T00:00:00"/>
    <n v="16"/>
    <s v="0.0053"/>
    <x v="33"/>
    <x v="285"/>
    <d v="1899-12-30T00:00:00"/>
    <n v="0.60069444444444442"/>
    <n v="-5838"/>
    <n v="0.19583333333333333"/>
    <x v="360"/>
    <x v="267"/>
    <n v="41"/>
    <n v="376466"/>
    <x v="9"/>
    <n v="6.27"/>
    <x v="0"/>
    <x v="1"/>
    <x v="1"/>
  </r>
  <r>
    <x v="322"/>
    <x v="23"/>
    <d v="2010-10-25T00:00:00"/>
    <n v="1"/>
    <s v="0.00461"/>
    <x v="72"/>
    <x v="67"/>
    <s v="1.21e-06"/>
    <n v="7.013888888888889E-2"/>
    <n v="-3863"/>
    <n v="0.21388888888888891"/>
    <x v="361"/>
    <x v="268"/>
    <n v="42"/>
    <n v="230546"/>
    <x v="9"/>
    <n v="3.84"/>
    <x v="1"/>
    <x v="1"/>
    <x v="1"/>
  </r>
  <r>
    <x v="252"/>
    <x v="23"/>
    <d v="2010-10-25T00:00:00"/>
    <n v="2"/>
    <n v="0.26874999999999999"/>
    <x v="208"/>
    <x v="228"/>
    <d v="1899-12-30T00:00:00"/>
    <n v="0.10972222222222222"/>
    <n v="-2976"/>
    <n v="0.21597222222222223"/>
    <x v="276"/>
    <x v="269"/>
    <n v="53"/>
    <n v="260946"/>
    <x v="9"/>
    <n v="4.3499999999999996"/>
    <x v="0"/>
    <x v="1"/>
    <x v="1"/>
  </r>
  <r>
    <x v="323"/>
    <x v="23"/>
    <d v="2010-10-25T00:00:00"/>
    <n v="3"/>
    <n v="0.14027777777777778"/>
    <x v="243"/>
    <x v="286"/>
    <d v="1899-12-30T00:00:00"/>
    <n v="0.22500000000000001"/>
    <n v="-5797"/>
    <n v="0.20069444444444443"/>
    <x v="362"/>
    <x v="270"/>
    <n v="62"/>
    <n v="293040"/>
    <x v="9"/>
    <n v="4.88"/>
    <x v="0"/>
    <x v="1"/>
    <x v="1"/>
  </r>
  <r>
    <x v="277"/>
    <x v="23"/>
    <d v="2010-10-25T00:00:00"/>
    <n v="4"/>
    <n v="7.013888888888889E-2"/>
    <x v="153"/>
    <x v="287"/>
    <d v="1899-12-30T00:00:00"/>
    <n v="0.67986111111111114"/>
    <s v="-3.75"/>
    <n v="0.21249999999999999"/>
    <x v="363"/>
    <x v="271"/>
    <n v="50"/>
    <n v="240773"/>
    <x v="9"/>
    <n v="4.01"/>
    <x v="1"/>
    <x v="1"/>
    <x v="1"/>
  </r>
  <r>
    <x v="324"/>
    <x v="23"/>
    <d v="2010-10-25T00:00:00"/>
    <n v="5"/>
    <n v="0.12708333333333333"/>
    <x v="244"/>
    <x v="53"/>
    <s v="1.65e-06"/>
    <n v="7.7083333333333337E-2"/>
    <n v="-5378"/>
    <n v="0.19305555555555556"/>
    <x v="364"/>
    <x v="61"/>
    <n v="46"/>
    <n v="403933"/>
    <x v="9"/>
    <n v="6.73"/>
    <x v="0"/>
    <x v="0"/>
    <x v="1"/>
  </r>
  <r>
    <x v="248"/>
    <x v="23"/>
    <d v="2010-10-25T00:00:00"/>
    <n v="6"/>
    <n v="0.30902777777777779"/>
    <x v="79"/>
    <x v="84"/>
    <d v="1899-12-30T00:00:00"/>
    <n v="0.15208333333333332"/>
    <n v="-3978"/>
    <n v="0.29583333333333334"/>
    <x v="365"/>
    <x v="272"/>
    <n v="51"/>
    <n v="237746"/>
    <x v="9"/>
    <n v="3.96"/>
    <x v="1"/>
    <x v="1"/>
    <x v="1"/>
  </r>
  <r>
    <x v="274"/>
    <x v="23"/>
    <d v="2010-10-25T00:00:00"/>
    <n v="7"/>
    <s v="0.000315"/>
    <x v="130"/>
    <x v="288"/>
    <s v="0.00161"/>
    <n v="0.29097222222222224"/>
    <n v="-4827"/>
    <n v="0.32430555555555557"/>
    <x v="366"/>
    <x v="273"/>
    <n v="48"/>
    <n v="265680"/>
    <x v="9"/>
    <n v="4.43"/>
    <x v="0"/>
    <x v="1"/>
    <x v="1"/>
  </r>
  <r>
    <x v="255"/>
    <x v="23"/>
    <d v="2010-10-25T00:00:00"/>
    <n v="8"/>
    <n v="0.5756944444444444"/>
    <x v="245"/>
    <x v="289"/>
    <d v="1899-12-30T00:00:00"/>
    <d v="1899-12-30T00:16:00"/>
    <n v="-8829"/>
    <n v="0.21180555555555555"/>
    <x v="367"/>
    <x v="274"/>
    <n v="48"/>
    <n v="290480"/>
    <x v="9"/>
    <n v="4.84"/>
    <x v="0"/>
    <x v="0"/>
    <x v="1"/>
  </r>
  <r>
    <x v="260"/>
    <x v="23"/>
    <d v="2010-10-25T00:00:00"/>
    <n v="9"/>
    <n v="0.49722222222222223"/>
    <x v="133"/>
    <x v="167"/>
    <s v="0.000388"/>
    <n v="0.11736111111111112"/>
    <n v="-3913"/>
    <n v="0.18958333333333333"/>
    <x v="368"/>
    <x v="218"/>
    <n v="71"/>
    <n v="352200"/>
    <x v="9"/>
    <n v="5.87"/>
    <x v="0"/>
    <x v="1"/>
    <x v="0"/>
  </r>
  <r>
    <x v="325"/>
    <x v="23"/>
    <d v="2010-10-25T00:00:00"/>
    <n v="10"/>
    <n v="0.11597222222222221"/>
    <x v="100"/>
    <x v="290"/>
    <s v="2.06e-05"/>
    <n v="0.24930555555555556"/>
    <n v="-3185"/>
    <n v="0.61597222222222225"/>
    <x v="369"/>
    <x v="275"/>
    <n v="54"/>
    <n v="217173"/>
    <x v="9"/>
    <n v="3.62"/>
    <x v="1"/>
    <x v="1"/>
    <x v="1"/>
  </r>
  <r>
    <x v="326"/>
    <x v="23"/>
    <d v="2010-10-25T00:00:00"/>
    <n v="11"/>
    <n v="0.14027777777777778"/>
    <x v="168"/>
    <x v="291"/>
    <d v="1899-12-30T00:00:00"/>
    <n v="8.6805555555555566E-2"/>
    <n v="-5295"/>
    <n v="0.17916666666666667"/>
    <x v="370"/>
    <x v="46"/>
    <n v="38"/>
    <n v="302266"/>
    <x v="9"/>
    <n v="5.04"/>
    <x v="0"/>
    <x v="1"/>
    <x v="2"/>
  </r>
  <r>
    <x v="254"/>
    <x v="23"/>
    <d v="2010-10-25T00:00:00"/>
    <n v="12"/>
    <n v="0.53402777777777777"/>
    <x v="246"/>
    <x v="292"/>
    <d v="1899-12-30T00:00:00"/>
    <n v="0.10486111111111111"/>
    <n v="-2641"/>
    <n v="0.40347222222222223"/>
    <x v="371"/>
    <x v="276"/>
    <n v="47"/>
    <n v="242093"/>
    <x v="9"/>
    <n v="4.03"/>
    <x v="0"/>
    <x v="1"/>
    <x v="1"/>
  </r>
  <r>
    <x v="327"/>
    <x v="23"/>
    <d v="2010-10-25T00:00:00"/>
    <n v="13"/>
    <n v="0.40347222222222223"/>
    <x v="155"/>
    <x v="293"/>
    <s v="3.75e-05"/>
    <n v="0.67986111111111114"/>
    <n v="-9531"/>
    <n v="0.20347222222222225"/>
    <x v="372"/>
    <x v="101"/>
    <n v="49"/>
    <n v="367146"/>
    <x v="9"/>
    <n v="6.12"/>
    <x v="0"/>
    <x v="0"/>
    <x v="1"/>
  </r>
  <r>
    <x v="328"/>
    <x v="23"/>
    <d v="2010-10-25T00:00:00"/>
    <n v="14"/>
    <n v="0.29583333333333334"/>
    <x v="247"/>
    <x v="294"/>
    <s v="7.47e-05"/>
    <n v="7.3611111111111113E-2"/>
    <n v="-4319"/>
    <n v="0.23541666666666669"/>
    <x v="373"/>
    <x v="277"/>
    <n v="51"/>
    <n v="317960"/>
    <x v="9"/>
    <n v="5.3"/>
    <x v="0"/>
    <x v="1"/>
    <x v="1"/>
  </r>
  <r>
    <x v="322"/>
    <x v="24"/>
    <d v="2010-01-01T00:00:00"/>
    <n v="1"/>
    <s v="0.00461"/>
    <x v="72"/>
    <x v="67"/>
    <s v="1.21e-06"/>
    <n v="7.013888888888889E-2"/>
    <n v="-3863"/>
    <n v="0.21388888888888891"/>
    <x v="361"/>
    <x v="268"/>
    <n v="42"/>
    <n v="230546"/>
    <x v="9"/>
    <n v="3.84"/>
    <x v="1"/>
    <x v="1"/>
    <x v="1"/>
  </r>
  <r>
    <x v="252"/>
    <x v="24"/>
    <d v="2010-01-01T00:00:00"/>
    <n v="2"/>
    <n v="0.26874999999999999"/>
    <x v="208"/>
    <x v="228"/>
    <d v="1899-12-30T00:00:00"/>
    <n v="0.10972222222222222"/>
    <n v="-2976"/>
    <n v="0.21597222222222223"/>
    <x v="276"/>
    <x v="269"/>
    <n v="52"/>
    <n v="260946"/>
    <x v="9"/>
    <n v="4.3499999999999996"/>
    <x v="0"/>
    <x v="1"/>
    <x v="1"/>
  </r>
  <r>
    <x v="323"/>
    <x v="24"/>
    <d v="2010-01-01T00:00:00"/>
    <n v="3"/>
    <n v="0.14027777777777778"/>
    <x v="243"/>
    <x v="286"/>
    <d v="1899-12-30T00:00:00"/>
    <n v="0.22500000000000001"/>
    <n v="-5797"/>
    <n v="0.20069444444444443"/>
    <x v="362"/>
    <x v="270"/>
    <n v="63"/>
    <n v="293040"/>
    <x v="9"/>
    <n v="4.88"/>
    <x v="0"/>
    <x v="1"/>
    <x v="1"/>
  </r>
  <r>
    <x v="277"/>
    <x v="24"/>
    <d v="2010-01-01T00:00:00"/>
    <n v="4"/>
    <n v="7.013888888888889E-2"/>
    <x v="153"/>
    <x v="287"/>
    <d v="1899-12-30T00:00:00"/>
    <n v="0.67986111111111114"/>
    <s v="-3.75"/>
    <n v="0.21249999999999999"/>
    <x v="363"/>
    <x v="271"/>
    <n v="51"/>
    <n v="240773"/>
    <x v="9"/>
    <n v="4.01"/>
    <x v="1"/>
    <x v="1"/>
    <x v="1"/>
  </r>
  <r>
    <x v="324"/>
    <x v="24"/>
    <d v="2010-01-01T00:00:00"/>
    <n v="5"/>
    <n v="0.12708333333333333"/>
    <x v="244"/>
    <x v="53"/>
    <s v="1.65e-06"/>
    <n v="7.7083333333333337E-2"/>
    <n v="-5378"/>
    <n v="0.19305555555555556"/>
    <x v="364"/>
    <x v="61"/>
    <n v="46"/>
    <n v="403887"/>
    <x v="9"/>
    <n v="6.73"/>
    <x v="0"/>
    <x v="0"/>
    <x v="1"/>
  </r>
  <r>
    <x v="248"/>
    <x v="24"/>
    <d v="2010-01-01T00:00:00"/>
    <n v="6"/>
    <n v="0.30902777777777779"/>
    <x v="79"/>
    <x v="84"/>
    <d v="1899-12-30T00:00:00"/>
    <n v="0.15208333333333332"/>
    <n v="-3978"/>
    <n v="0.29583333333333334"/>
    <x v="365"/>
    <x v="272"/>
    <n v="55"/>
    <n v="237746"/>
    <x v="9"/>
    <n v="3.96"/>
    <x v="1"/>
    <x v="1"/>
    <x v="1"/>
  </r>
  <r>
    <x v="274"/>
    <x v="24"/>
    <d v="2010-01-01T00:00:00"/>
    <n v="7"/>
    <s v="0.000315"/>
    <x v="130"/>
    <x v="288"/>
    <s v="0.00161"/>
    <n v="0.29097222222222224"/>
    <n v="-4827"/>
    <n v="0.32430555555555557"/>
    <x v="366"/>
    <x v="273"/>
    <n v="40"/>
    <n v="265636"/>
    <x v="9"/>
    <n v="4.43"/>
    <x v="0"/>
    <x v="1"/>
    <x v="1"/>
  </r>
  <r>
    <x v="255"/>
    <x v="24"/>
    <d v="2010-01-01T00:00:00"/>
    <n v="8"/>
    <n v="0.5756944444444444"/>
    <x v="245"/>
    <x v="289"/>
    <d v="1899-12-30T00:00:00"/>
    <d v="1899-12-30T00:16:00"/>
    <n v="-8829"/>
    <n v="0.21180555555555555"/>
    <x v="367"/>
    <x v="274"/>
    <n v="44"/>
    <n v="290480"/>
    <x v="9"/>
    <n v="4.84"/>
    <x v="0"/>
    <x v="0"/>
    <x v="1"/>
  </r>
  <r>
    <x v="260"/>
    <x v="24"/>
    <d v="2010-01-01T00:00:00"/>
    <n v="9"/>
    <n v="0.49722222222222223"/>
    <x v="133"/>
    <x v="167"/>
    <s v="0.000388"/>
    <n v="0.11736111111111112"/>
    <n v="-3913"/>
    <n v="0.18958333333333333"/>
    <x v="368"/>
    <x v="218"/>
    <n v="71"/>
    <n v="352200"/>
    <x v="9"/>
    <n v="5.87"/>
    <x v="0"/>
    <x v="1"/>
    <x v="0"/>
  </r>
  <r>
    <x v="325"/>
    <x v="24"/>
    <d v="2010-01-01T00:00:00"/>
    <n v="10"/>
    <n v="0.11597222222222221"/>
    <x v="100"/>
    <x v="290"/>
    <s v="2.06e-05"/>
    <n v="0.24930555555555556"/>
    <n v="-3185"/>
    <n v="0.61597222222222225"/>
    <x v="369"/>
    <x v="275"/>
    <n v="54"/>
    <n v="217173"/>
    <x v="9"/>
    <n v="3.62"/>
    <x v="1"/>
    <x v="1"/>
    <x v="1"/>
  </r>
  <r>
    <x v="326"/>
    <x v="24"/>
    <d v="2010-01-01T00:00:00"/>
    <n v="11"/>
    <n v="0.14027777777777778"/>
    <x v="168"/>
    <x v="291"/>
    <d v="1899-12-30T00:00:00"/>
    <n v="8.6805555555555566E-2"/>
    <n v="-5295"/>
    <n v="0.17916666666666667"/>
    <x v="370"/>
    <x v="46"/>
    <n v="40"/>
    <n v="302266"/>
    <x v="9"/>
    <n v="5.04"/>
    <x v="0"/>
    <x v="1"/>
    <x v="1"/>
  </r>
  <r>
    <x v="254"/>
    <x v="24"/>
    <d v="2010-01-01T00:00:00"/>
    <n v="12"/>
    <n v="0.53402777777777777"/>
    <x v="246"/>
    <x v="292"/>
    <d v="1899-12-30T00:00:00"/>
    <n v="0.10486111111111111"/>
    <n v="-2641"/>
    <n v="0.40347222222222223"/>
    <x v="371"/>
    <x v="276"/>
    <n v="48"/>
    <n v="242093"/>
    <x v="9"/>
    <n v="4.03"/>
    <x v="0"/>
    <x v="1"/>
    <x v="1"/>
  </r>
  <r>
    <x v="327"/>
    <x v="24"/>
    <d v="2010-01-01T00:00:00"/>
    <n v="13"/>
    <n v="0.40347222222222223"/>
    <x v="155"/>
    <x v="293"/>
    <s v="3.75e-05"/>
    <n v="0.67986111111111114"/>
    <n v="-9531"/>
    <n v="0.20347222222222225"/>
    <x v="372"/>
    <x v="101"/>
    <n v="46"/>
    <n v="367146"/>
    <x v="9"/>
    <n v="6.12"/>
    <x v="0"/>
    <x v="0"/>
    <x v="1"/>
  </r>
  <r>
    <x v="328"/>
    <x v="24"/>
    <d v="2010-01-01T00:00:00"/>
    <n v="14"/>
    <n v="0.29583333333333334"/>
    <x v="247"/>
    <x v="294"/>
    <s v="7.47e-05"/>
    <n v="7.3611111111111113E-2"/>
    <n v="-4319"/>
    <n v="0.23541666666666669"/>
    <x v="373"/>
    <x v="277"/>
    <n v="46"/>
    <n v="317960"/>
    <x v="9"/>
    <n v="5.3"/>
    <x v="0"/>
    <x v="1"/>
    <x v="1"/>
  </r>
  <r>
    <x v="262"/>
    <x v="24"/>
    <d v="2010-01-01T00:00:00"/>
    <n v="15"/>
    <n v="0.35069444444444442"/>
    <x v="109"/>
    <x v="295"/>
    <d v="1899-12-30T00:00:00"/>
    <n v="0.59097222222222223"/>
    <n v="-7369"/>
    <n v="0.19791666666666666"/>
    <x v="273"/>
    <x v="278"/>
    <n v="46"/>
    <n v="238173"/>
    <x v="9"/>
    <n v="3.97"/>
    <x v="0"/>
    <x v="0"/>
    <x v="1"/>
  </r>
  <r>
    <x v="329"/>
    <x v="24"/>
    <d v="2010-01-01T00:00:00"/>
    <n v="16"/>
    <n v="0.10694444444444445"/>
    <x v="132"/>
    <x v="296"/>
    <s v="4.05e-06"/>
    <n v="0.18680555555555556"/>
    <n v="-3498"/>
    <n v="0.18541666666666667"/>
    <x v="374"/>
    <x v="279"/>
    <n v="45"/>
    <n v="234546"/>
    <x v="9"/>
    <n v="3.91"/>
    <x v="0"/>
    <x v="1"/>
    <x v="1"/>
  </r>
  <r>
    <x v="330"/>
    <x v="24"/>
    <d v="2010-01-01T00:00:00"/>
    <n v="17"/>
    <n v="0.12986111111111112"/>
    <x v="248"/>
    <x v="136"/>
    <s v="1.94e-06"/>
    <n v="7.013888888888889E-2"/>
    <n v="-3718"/>
    <n v="0.23402777777777775"/>
    <x v="375"/>
    <x v="274"/>
    <n v="39"/>
    <n v="276266"/>
    <x v="9"/>
    <n v="4.5999999999999996"/>
    <x v="0"/>
    <x v="1"/>
    <x v="2"/>
  </r>
  <r>
    <x v="331"/>
    <x v="24"/>
    <d v="2010-01-01T00:00:00"/>
    <n v="18"/>
    <n v="0.50763888888888886"/>
    <x v="3"/>
    <x v="18"/>
    <d v="1899-12-30T00:00:00"/>
    <n v="0.13680555555555554"/>
    <n v="-6522"/>
    <s v="0.027"/>
    <x v="376"/>
    <x v="280"/>
    <n v="49"/>
    <n v="292533"/>
    <x v="9"/>
    <n v="4.88"/>
    <x v="0"/>
    <x v="0"/>
    <x v="1"/>
  </r>
  <r>
    <x v="332"/>
    <x v="24"/>
    <d v="2010-01-01T00:00:00"/>
    <n v="19"/>
    <n v="0.58402777777777781"/>
    <x v="186"/>
    <x v="143"/>
    <d v="1899-12-30T00:00:00"/>
    <d v="1899-12-30T00:28:00"/>
    <n v="-5124"/>
    <n v="0.17500000000000002"/>
    <x v="377"/>
    <x v="199"/>
    <n v="44"/>
    <n v="217626"/>
    <x v="9"/>
    <n v="3.63"/>
    <x v="0"/>
    <x v="0"/>
    <x v="1"/>
  </r>
  <r>
    <x v="251"/>
    <x v="24"/>
    <d v="2010-01-01T00:00:00"/>
    <n v="20"/>
    <s v="0.00327"/>
    <x v="45"/>
    <x v="297"/>
    <s v="4.55e-06"/>
    <n v="0.1277777777777778"/>
    <n v="-2934"/>
    <n v="0.20625000000000002"/>
    <x v="378"/>
    <x v="281"/>
    <n v="57"/>
    <n v="230773"/>
    <x v="9"/>
    <n v="3.85"/>
    <x v="1"/>
    <x v="0"/>
    <x v="1"/>
  </r>
  <r>
    <x v="323"/>
    <x v="24"/>
    <d v="2010-01-01T00:00:00"/>
    <n v="21"/>
    <n v="7.8472222222222221E-2"/>
    <x v="249"/>
    <x v="263"/>
    <d v="1899-12-30T00:00:00"/>
    <n v="0.20416666666666669"/>
    <n v="-4684"/>
    <n v="0.20416666666666669"/>
    <x v="379"/>
    <x v="0"/>
    <n v="34"/>
    <n v="293040"/>
    <x v="9"/>
    <n v="4.88"/>
    <x v="0"/>
    <x v="1"/>
    <x v="2"/>
  </r>
  <r>
    <x v="274"/>
    <x v="24"/>
    <d v="2010-01-01T00:00:00"/>
    <n v="22"/>
    <s v="0.00487"/>
    <x v="121"/>
    <x v="101"/>
    <s v="0.000372"/>
    <n v="0.3034722222222222"/>
    <n v="-3621"/>
    <s v="0.041"/>
    <x v="380"/>
    <x v="282"/>
    <n v="52"/>
    <n v="266480"/>
    <x v="9"/>
    <n v="4.4400000000000004"/>
    <x v="1"/>
    <x v="1"/>
    <x v="1"/>
  </r>
  <r>
    <x v="271"/>
    <x v="25"/>
    <d v="2008-11-11T00:00:00"/>
    <n v="1"/>
    <n v="7.7083333333333337E-2"/>
    <x v="250"/>
    <x v="298"/>
    <d v="1899-12-30T00:00:00"/>
    <n v="0.48125000000000001"/>
    <n v="-5737"/>
    <n v="0.18819444444444444"/>
    <x v="381"/>
    <x v="283"/>
    <n v="41"/>
    <n v="237066"/>
    <x v="10"/>
    <n v="3.95"/>
    <x v="0"/>
    <x v="1"/>
    <x v="1"/>
  </r>
  <r>
    <x v="333"/>
    <x v="25"/>
    <d v="2008-11-11T00:00:00"/>
    <n v="2"/>
    <n v="0.40486111111111112"/>
    <x v="236"/>
    <x v="299"/>
    <s v="3.78e-06"/>
    <n v="0.67638888888888893"/>
    <n v="-6809"/>
    <n v="0.23263888888888887"/>
    <x v="382"/>
    <x v="284"/>
    <n v="43"/>
    <n v="311040"/>
    <x v="10"/>
    <n v="5.18"/>
    <x v="0"/>
    <x v="0"/>
    <x v="1"/>
  </r>
  <r>
    <x v="334"/>
    <x v="25"/>
    <d v="2008-11-11T00:00:00"/>
    <n v="3"/>
    <n v="0.59166666666666667"/>
    <x v="137"/>
    <x v="300"/>
    <d v="1899-12-30T00:00:00"/>
    <n v="8.0555555555555561E-2"/>
    <n v="-10785"/>
    <n v="0.24097222222222223"/>
    <x v="383"/>
    <x v="285"/>
    <n v="41"/>
    <n v="267506"/>
    <x v="10"/>
    <n v="4.46"/>
    <x v="0"/>
    <x v="0"/>
    <x v="1"/>
  </r>
  <r>
    <x v="335"/>
    <x v="25"/>
    <d v="2008-11-11T00:00:00"/>
    <n v="4"/>
    <n v="0.66736111111111107"/>
    <x v="15"/>
    <x v="301"/>
    <s v="2.47e-06"/>
    <d v="1899-12-30T00:24:00"/>
    <n v="-6172"/>
    <n v="0.17777777777777778"/>
    <x v="384"/>
    <x v="16"/>
    <n v="39"/>
    <n v="238093"/>
    <x v="10"/>
    <n v="3.97"/>
    <x v="0"/>
    <x v="0"/>
    <x v="2"/>
  </r>
  <r>
    <x v="336"/>
    <x v="25"/>
    <d v="2008-11-11T00:00:00"/>
    <n v="5"/>
    <n v="0.25486111111111109"/>
    <x v="109"/>
    <x v="130"/>
    <d v="1899-12-30T00:00:00"/>
    <n v="0.24374999999999999"/>
    <n v="-6123"/>
    <n v="0.16597222222222222"/>
    <x v="385"/>
    <x v="218"/>
    <n v="38"/>
    <n v="261453"/>
    <x v="10"/>
    <n v="4.3600000000000003"/>
    <x v="0"/>
    <x v="0"/>
    <x v="2"/>
  </r>
  <r>
    <x v="337"/>
    <x v="25"/>
    <d v="2008-11-11T00:00:00"/>
    <n v="6"/>
    <n v="0.11736111111111112"/>
    <x v="28"/>
    <x v="216"/>
    <d v="1899-12-30T00:00:00"/>
    <n v="0.16527777777777777"/>
    <n v="-4279"/>
    <n v="0.24097222222222223"/>
    <x v="386"/>
    <x v="123"/>
    <n v="39"/>
    <n v="237600"/>
    <x v="10"/>
    <n v="3.96"/>
    <x v="0"/>
    <x v="1"/>
    <x v="2"/>
  </r>
  <r>
    <x v="259"/>
    <x v="25"/>
    <d v="2008-11-11T00:00:00"/>
    <n v="7"/>
    <n v="0.25277777777777777"/>
    <x v="118"/>
    <x v="302"/>
    <s v="1.04e-06"/>
    <d v="1899-12-30T00:31:00"/>
    <n v="-4397"/>
    <n v="0.18958333333333333"/>
    <x v="387"/>
    <x v="242"/>
    <n v="50"/>
    <n v="242000"/>
    <x v="10"/>
    <n v="4.03"/>
    <x v="0"/>
    <x v="1"/>
    <x v="1"/>
  </r>
  <r>
    <x v="250"/>
    <x v="25"/>
    <d v="2008-11-11T00:00:00"/>
    <n v="8"/>
    <n v="0.50555555555555554"/>
    <x v="113"/>
    <x v="303"/>
    <d v="1899-12-30T00:00:00"/>
    <n v="9.9999999999999992E-2"/>
    <s v="-4.4"/>
    <n v="0.18263888888888891"/>
    <x v="388"/>
    <x v="15"/>
    <n v="40"/>
    <n v="294346"/>
    <x v="10"/>
    <n v="4.91"/>
    <x v="0"/>
    <x v="1"/>
    <x v="1"/>
  </r>
  <r>
    <x v="338"/>
    <x v="25"/>
    <d v="2008-11-11T00:00:00"/>
    <n v="9"/>
    <n v="0.10902777777777778"/>
    <x v="250"/>
    <x v="109"/>
    <d v="1899-12-30T00:00:00"/>
    <s v="0.073"/>
    <n v="-3937"/>
    <n v="0.21388888888888891"/>
    <x v="389"/>
    <x v="286"/>
    <n v="56"/>
    <n v="235280"/>
    <x v="10"/>
    <n v="3.92"/>
    <x v="0"/>
    <x v="1"/>
    <x v="1"/>
  </r>
  <r>
    <x v="276"/>
    <x v="25"/>
    <d v="2008-11-11T00:00:00"/>
    <n v="10"/>
    <n v="0.11666666666666665"/>
    <x v="214"/>
    <x v="57"/>
    <s v="2.66e-06"/>
    <n v="7.4305555555555555E-2"/>
    <n v="-7348"/>
    <n v="0.22013888888888888"/>
    <x v="390"/>
    <x v="287"/>
    <n v="43"/>
    <n v="254320"/>
    <x v="10"/>
    <n v="4.24"/>
    <x v="1"/>
    <x v="0"/>
    <x v="1"/>
  </r>
  <r>
    <x v="279"/>
    <x v="25"/>
    <d v="2008-11-11T00:00:00"/>
    <n v="11"/>
    <n v="0.20972222222222223"/>
    <x v="251"/>
    <x v="304"/>
    <d v="1899-12-30T00:00:00"/>
    <n v="7.0833333333333331E-2"/>
    <n v="-8014"/>
    <n v="0.17777777777777778"/>
    <x v="391"/>
    <x v="11"/>
    <n v="42"/>
    <n v="234440"/>
    <x v="10"/>
    <n v="3.91"/>
    <x v="0"/>
    <x v="0"/>
    <x v="1"/>
  </r>
  <r>
    <x v="339"/>
    <x v="25"/>
    <d v="2008-11-11T00:00:00"/>
    <n v="12"/>
    <n v="0.11388888888888889"/>
    <x v="75"/>
    <x v="305"/>
    <s v="2.46e-05"/>
    <n v="7.7777777777777779E-2"/>
    <n v="-4424"/>
    <n v="0.26666666666666666"/>
    <x v="392"/>
    <x v="288"/>
    <n v="57"/>
    <n v="231146"/>
    <x v="10"/>
    <n v="3.85"/>
    <x v="0"/>
    <x v="1"/>
    <x v="1"/>
  </r>
  <r>
    <x v="269"/>
    <x v="25"/>
    <d v="2008-11-11T00:00:00"/>
    <n v="13"/>
    <n v="0.2590277777777778"/>
    <x v="98"/>
    <x v="306"/>
    <d v="1899-12-30T00:00:00"/>
    <n v="7.8472222222222221E-2"/>
    <n v="-7384"/>
    <n v="0.18958333333333333"/>
    <x v="393"/>
    <x v="289"/>
    <n v="38"/>
    <n v="263986"/>
    <x v="10"/>
    <n v="4.4000000000000004"/>
    <x v="0"/>
    <x v="0"/>
    <x v="2"/>
  </r>
  <r>
    <x v="340"/>
    <x v="25"/>
    <d v="2008-11-11T00:00:00"/>
    <n v="14"/>
    <n v="0.42083333333333334"/>
    <x v="97"/>
    <x v="275"/>
    <s v="3.41e-06"/>
    <d v="1899-12-30T00:37:00"/>
    <n v="-3096"/>
    <n v="0.26805555555555555"/>
    <x v="394"/>
    <x v="172"/>
    <n v="40"/>
    <n v="200560"/>
    <x v="10"/>
    <n v="3.34"/>
    <x v="0"/>
    <x v="1"/>
    <x v="1"/>
  </r>
  <r>
    <x v="341"/>
    <x v="25"/>
    <d v="2008-11-11T00:00:00"/>
    <n v="15"/>
    <d v="1899-12-30T00:13:00"/>
    <x v="252"/>
    <x v="160"/>
    <s v="2.3e-06"/>
    <n v="7.8472222222222221E-2"/>
    <n v="-4126"/>
    <n v="0.19097222222222221"/>
    <x v="395"/>
    <x v="0"/>
    <n v="42"/>
    <n v="261800"/>
    <x v="10"/>
    <n v="4.3600000000000003"/>
    <x v="0"/>
    <x v="0"/>
    <x v="1"/>
  </r>
  <r>
    <x v="342"/>
    <x v="25"/>
    <d v="2008-11-11T00:00:00"/>
    <n v="16"/>
    <n v="0.22361111111111109"/>
    <x v="253"/>
    <x v="307"/>
    <d v="1899-12-30T00:00:00"/>
    <n v="7.7083333333333337E-2"/>
    <n v="-3689"/>
    <n v="0.22847222222222222"/>
    <x v="396"/>
    <x v="178"/>
    <n v="48"/>
    <n v="244240"/>
    <x v="10"/>
    <n v="4.07"/>
    <x v="0"/>
    <x v="1"/>
    <x v="1"/>
  </r>
  <r>
    <x v="275"/>
    <x v="25"/>
    <d v="2008-11-11T00:00:00"/>
    <n v="17"/>
    <n v="0.62986111111111109"/>
    <x v="50"/>
    <x v="240"/>
    <d v="1899-12-30T00:00:00"/>
    <n v="7.3611111111111113E-2"/>
    <n v="-4993"/>
    <n v="0.38125000000000003"/>
    <x v="397"/>
    <x v="25"/>
    <n v="43"/>
    <n v="225333"/>
    <x v="10"/>
    <n v="3.76"/>
    <x v="0"/>
    <x v="1"/>
    <x v="1"/>
  </r>
  <r>
    <x v="240"/>
    <x v="25"/>
    <d v="2008-11-11T00:00:00"/>
    <n v="18"/>
    <n v="0.42430555555555555"/>
    <x v="86"/>
    <x v="308"/>
    <n v="9.9999999999999995E-7"/>
    <n v="9.6527777777777782E-2"/>
    <n v="-8535"/>
    <n v="0.20277777777777775"/>
    <x v="398"/>
    <x v="290"/>
    <n v="40"/>
    <n v="245346"/>
    <x v="10"/>
    <n v="4.09"/>
    <x v="0"/>
    <x v="0"/>
    <x v="1"/>
  </r>
  <r>
    <x v="261"/>
    <x v="25"/>
    <d v="2008-11-11T00:00:00"/>
    <n v="19"/>
    <s v="0.00471"/>
    <x v="254"/>
    <x v="309"/>
    <d v="1899-12-30T00:00:00"/>
    <n v="8.1250000000000003E-2"/>
    <n v="-4175"/>
    <s v="0.036"/>
    <x v="399"/>
    <x v="126"/>
    <n v="40"/>
    <n v="281053"/>
    <x v="10"/>
    <n v="4.68"/>
    <x v="0"/>
    <x v="1"/>
    <x v="1"/>
  </r>
  <r>
    <x v="259"/>
    <x v="26"/>
    <d v="2008-11-11T00:00:00"/>
    <n v="1"/>
    <n v="0.31180555555555556"/>
    <x v="147"/>
    <x v="310"/>
    <d v="1899-12-30T00:00:00"/>
    <n v="0.21458333333333335"/>
    <s v="-4.43"/>
    <n v="0.18680555555555556"/>
    <x v="400"/>
    <x v="121"/>
    <n v="36"/>
    <n v="242373"/>
    <x v="10"/>
    <n v="4.04"/>
    <x v="0"/>
    <x v="1"/>
    <x v="2"/>
  </r>
  <r>
    <x v="250"/>
    <x v="26"/>
    <d v="2008-11-11T00:00:00"/>
    <n v="2"/>
    <s v="0.072"/>
    <x v="255"/>
    <x v="73"/>
    <d v="1899-12-30T00:00:00"/>
    <n v="9.930555555555555E-2"/>
    <n v="-4419"/>
    <s v="0.027"/>
    <x v="401"/>
    <x v="291"/>
    <n v="32"/>
    <n v="294306"/>
    <x v="10"/>
    <n v="4.91"/>
    <x v="0"/>
    <x v="1"/>
    <x v="2"/>
  </r>
  <r>
    <x v="338"/>
    <x v="26"/>
    <d v="2008-11-11T00:00:00"/>
    <n v="3"/>
    <n v="0.12916666666666668"/>
    <x v="256"/>
    <x v="311"/>
    <s v="0.00011"/>
    <n v="0.14305555555555555"/>
    <n v="-5398"/>
    <n v="0.19791666666666666"/>
    <x v="402"/>
    <x v="6"/>
    <n v="46"/>
    <n v="233933"/>
    <x v="10"/>
    <n v="3.9"/>
    <x v="0"/>
    <x v="1"/>
    <x v="1"/>
  </r>
  <r>
    <x v="276"/>
    <x v="26"/>
    <d v="2008-11-11T00:00:00"/>
    <n v="4"/>
    <n v="0.12083333333333333"/>
    <x v="214"/>
    <x v="192"/>
    <s v="3.87e-06"/>
    <n v="0.67222222222222217"/>
    <n v="-7364"/>
    <n v="0.22013888888888888"/>
    <x v="403"/>
    <x v="292"/>
    <n v="30"/>
    <n v="254680"/>
    <x v="10"/>
    <n v="4.24"/>
    <x v="1"/>
    <x v="0"/>
    <x v="2"/>
  </r>
  <r>
    <x v="279"/>
    <x v="26"/>
    <d v="2008-11-11T00:00:00"/>
    <n v="5"/>
    <n v="0.20694444444444446"/>
    <x v="25"/>
    <x v="312"/>
    <d v="1899-12-30T00:00:00"/>
    <n v="7.3611111111111113E-2"/>
    <n v="-8034"/>
    <n v="0.17847222222222223"/>
    <x v="404"/>
    <x v="293"/>
    <n v="33"/>
    <n v="233560"/>
    <x v="10"/>
    <n v="3.89"/>
    <x v="0"/>
    <x v="0"/>
    <x v="2"/>
  </r>
  <r>
    <x v="339"/>
    <x v="26"/>
    <d v="2008-11-11T00:00:00"/>
    <n v="6"/>
    <n v="0.10486111111111111"/>
    <x v="140"/>
    <x v="313"/>
    <s v="1.98e-05"/>
    <n v="7.2222222222222229E-2"/>
    <n v="-4436"/>
    <n v="0.26458333333333334"/>
    <x v="405"/>
    <x v="123"/>
    <n v="45"/>
    <n v="230506"/>
    <x v="10"/>
    <n v="3.84"/>
    <x v="0"/>
    <x v="1"/>
    <x v="1"/>
  </r>
  <r>
    <x v="269"/>
    <x v="26"/>
    <d v="2008-11-11T00:00:00"/>
    <n v="7"/>
    <n v="0.27013888888888887"/>
    <x v="257"/>
    <x v="314"/>
    <d v="1899-12-30T00:00:00"/>
    <n v="8.6805555555555566E-2"/>
    <s v="-7.39"/>
    <n v="0.19097222222222221"/>
    <x v="406"/>
    <x v="147"/>
    <n v="31"/>
    <n v="263720"/>
    <x v="10"/>
    <n v="4.4000000000000004"/>
    <x v="0"/>
    <x v="0"/>
    <x v="2"/>
  </r>
  <r>
    <x v="340"/>
    <x v="26"/>
    <d v="2008-11-11T00:00:00"/>
    <n v="8"/>
    <n v="0.42430555555555555"/>
    <x v="9"/>
    <x v="43"/>
    <s v="1.99e-06"/>
    <n v="0.25972222222222224"/>
    <n v="-3058"/>
    <n v="0.25972222222222224"/>
    <x v="407"/>
    <x v="157"/>
    <n v="27"/>
    <n v="200213"/>
    <x v="10"/>
    <n v="3.34"/>
    <x v="0"/>
    <x v="1"/>
    <x v="2"/>
  </r>
  <r>
    <x v="341"/>
    <x v="26"/>
    <d v="2008-11-11T00:00:00"/>
    <n v="9"/>
    <n v="0.10069444444444443"/>
    <x v="258"/>
    <x v="268"/>
    <s v="2.39e-06"/>
    <n v="7.4999999999999997E-2"/>
    <n v="-4137"/>
    <s v="0.027"/>
    <x v="408"/>
    <x v="294"/>
    <n v="28"/>
    <n v="261800"/>
    <x v="10"/>
    <n v="4.3600000000000003"/>
    <x v="0"/>
    <x v="0"/>
    <x v="2"/>
  </r>
  <r>
    <x v="342"/>
    <x v="26"/>
    <d v="2008-11-11T00:00:00"/>
    <n v="10"/>
    <n v="0.21875"/>
    <x v="246"/>
    <x v="315"/>
    <d v="1899-12-30T00:00:00"/>
    <n v="8.6805555555555566E-2"/>
    <n v="-3748"/>
    <n v="0.23263888888888887"/>
    <x v="409"/>
    <x v="180"/>
    <n v="31"/>
    <n v="244626"/>
    <x v="10"/>
    <n v="4.08"/>
    <x v="0"/>
    <x v="1"/>
    <x v="2"/>
  </r>
  <r>
    <x v="275"/>
    <x v="26"/>
    <d v="2008-11-11T00:00:00"/>
    <n v="11"/>
    <n v="0.54722222222222217"/>
    <x v="1"/>
    <x v="216"/>
    <d v="1899-12-30T00:00:00"/>
    <n v="0.11388888888888889"/>
    <n v="-5002"/>
    <n v="0.37291666666666662"/>
    <x v="410"/>
    <x v="295"/>
    <n v="28"/>
    <n v="225000"/>
    <x v="10"/>
    <n v="3.75"/>
    <x v="0"/>
    <x v="1"/>
    <x v="2"/>
  </r>
  <r>
    <x v="240"/>
    <x v="26"/>
    <d v="2008-11-11T00:00:00"/>
    <n v="12"/>
    <n v="0.45"/>
    <x v="36"/>
    <x v="316"/>
    <s v="3.04e-06"/>
    <n v="9.7916666666666666E-2"/>
    <n v="-8561"/>
    <n v="0.19930555555555554"/>
    <x v="411"/>
    <x v="296"/>
    <n v="26"/>
    <n v="245266"/>
    <x v="10"/>
    <n v="4.09"/>
    <x v="0"/>
    <x v="0"/>
    <x v="2"/>
  </r>
  <r>
    <x v="261"/>
    <x v="26"/>
    <d v="2008-11-11T00:00:00"/>
    <n v="13"/>
    <s v="0.00465"/>
    <x v="193"/>
    <x v="84"/>
    <d v="1899-12-30T00:00:00"/>
    <n v="7.9861111111111119E-2"/>
    <n v="-4231"/>
    <s v="0.037"/>
    <x v="412"/>
    <x v="15"/>
    <n v="25"/>
    <n v="278546"/>
    <x v="10"/>
    <n v="4.6399999999999997"/>
    <x v="0"/>
    <x v="1"/>
    <x v="2"/>
  </r>
  <r>
    <x v="343"/>
    <x v="26"/>
    <d v="2008-11-11T00:00:00"/>
    <n v="14"/>
    <s v="0.00739"/>
    <x v="18"/>
    <x v="317"/>
    <s v="1.11e-06"/>
    <n v="0.24583333333333335"/>
    <n v="-4833"/>
    <n v="0.20902777777777778"/>
    <x v="413"/>
    <x v="297"/>
    <n v="31"/>
    <n v="199933"/>
    <x v="10"/>
    <n v="3.33"/>
    <x v="1"/>
    <x v="1"/>
    <x v="2"/>
  </r>
  <r>
    <x v="344"/>
    <x v="26"/>
    <d v="2008-11-11T00:00:00"/>
    <n v="15"/>
    <n v="0.12361111111111112"/>
    <x v="32"/>
    <x v="95"/>
    <s v="0.00755"/>
    <n v="7.9166666666666663E-2"/>
    <n v="-6307"/>
    <n v="0.18333333333333335"/>
    <x v="414"/>
    <x v="177"/>
    <n v="34"/>
    <n v="193640"/>
    <x v="10"/>
    <n v="3.23"/>
    <x v="0"/>
    <x v="0"/>
    <x v="2"/>
  </r>
  <r>
    <x v="345"/>
    <x v="26"/>
    <d v="2008-11-11T00:00:00"/>
    <n v="16"/>
    <s v="0.00505"/>
    <x v="259"/>
    <x v="318"/>
    <s v="0.000437"/>
    <n v="0.16250000000000001"/>
    <n v="-4382"/>
    <n v="0.26180555555555557"/>
    <x v="415"/>
    <x v="154"/>
    <n v="29"/>
    <n v="245826"/>
    <x v="10"/>
    <n v="4.0999999999999996"/>
    <x v="0"/>
    <x v="1"/>
    <x v="2"/>
  </r>
  <r>
    <x v="346"/>
    <x v="27"/>
    <d v="2008-06-28T00:00:00"/>
    <n v="1"/>
    <n v="0.45763888888888887"/>
    <x v="260"/>
    <x v="125"/>
    <d v="1899-12-30T00:00:00"/>
    <n v="9.0972222222222218E-2"/>
    <n v="-7031"/>
    <n v="0.21597222222222223"/>
    <x v="416"/>
    <x v="298"/>
    <n v="35"/>
    <n v="221028"/>
    <x v="10"/>
    <n v="3.68"/>
    <x v="0"/>
    <x v="0"/>
    <x v="2"/>
  </r>
  <r>
    <x v="347"/>
    <x v="27"/>
    <d v="2008-06-28T00:00:00"/>
    <n v="2"/>
    <n v="0.56527777777777777"/>
    <x v="105"/>
    <x v="319"/>
    <d v="1899-12-30T00:00:00"/>
    <n v="0.10069444444444443"/>
    <n v="-5894"/>
    <s v="0.026"/>
    <x v="417"/>
    <x v="242"/>
    <n v="35"/>
    <n v="198247"/>
    <x v="10"/>
    <n v="3.3"/>
    <x v="0"/>
    <x v="0"/>
    <x v="2"/>
  </r>
  <r>
    <x v="348"/>
    <x v="27"/>
    <d v="2008-06-28T00:00:00"/>
    <n v="3"/>
    <n v="0.41388888888888892"/>
    <x v="114"/>
    <x v="151"/>
    <d v="1899-12-30T00:00:00"/>
    <n v="0.4152777777777778"/>
    <n v="-3739"/>
    <n v="0.18680555555555556"/>
    <x v="418"/>
    <x v="299"/>
    <n v="38"/>
    <n v="176316"/>
    <x v="10"/>
    <n v="2.94"/>
    <x v="0"/>
    <x v="1"/>
    <x v="2"/>
  </r>
  <r>
    <x v="349"/>
    <x v="27"/>
    <d v="2008-06-28T00:00:00"/>
    <n v="4"/>
    <n v="0.59444444444444444"/>
    <x v="261"/>
    <x v="320"/>
    <d v="1899-12-30T00:00:00"/>
    <n v="0.64374999999999993"/>
    <n v="-9235"/>
    <n v="0.2902777777777778"/>
    <x v="419"/>
    <x v="300"/>
    <n v="32"/>
    <n v="222959"/>
    <x v="10"/>
    <n v="3.72"/>
    <x v="0"/>
    <x v="0"/>
    <x v="2"/>
  </r>
  <r>
    <x v="350"/>
    <x v="27"/>
    <d v="2008-06-28T00:00:00"/>
    <n v="5"/>
    <n v="0.46111111111111108"/>
    <x v="262"/>
    <x v="321"/>
    <d v="1899-12-30T00:00:00"/>
    <n v="7.3611111111111113E-2"/>
    <n v="-5373"/>
    <n v="0.39861111111111108"/>
    <x v="420"/>
    <x v="235"/>
    <n v="30"/>
    <n v="196346"/>
    <x v="10"/>
    <n v="3.27"/>
    <x v="1"/>
    <x v="1"/>
    <x v="2"/>
  </r>
  <r>
    <x v="351"/>
    <x v="27"/>
    <d v="2008-06-28T00:00:00"/>
    <n v="6"/>
    <n v="0.18472222222222223"/>
    <x v="49"/>
    <x v="322"/>
    <d v="1899-12-30T00:00:00"/>
    <n v="0.29097222222222224"/>
    <n v="-1953"/>
    <n v="0.36388888888888887"/>
    <x v="421"/>
    <x v="301"/>
    <n v="30"/>
    <n v="173899"/>
    <x v="10"/>
    <n v="2.9"/>
    <x v="1"/>
    <x v="1"/>
    <x v="2"/>
  </r>
  <r>
    <x v="352"/>
    <x v="27"/>
    <d v="2008-06-28T00:00:00"/>
    <n v="7"/>
    <n v="0.27708333333333335"/>
    <x v="237"/>
    <x v="323"/>
    <d v="1899-12-30T00:00:00"/>
    <n v="0.61388888888888882"/>
    <n v="-3004"/>
    <n v="0.47013888888888888"/>
    <x v="422"/>
    <x v="5"/>
    <n v="30"/>
    <n v="228473"/>
    <x v="10"/>
    <n v="3.81"/>
    <x v="0"/>
    <x v="1"/>
    <x v="2"/>
  </r>
  <r>
    <x v="353"/>
    <x v="27"/>
    <d v="2008-06-28T00:00:00"/>
    <n v="8"/>
    <n v="0.10833333333333334"/>
    <x v="263"/>
    <x v="307"/>
    <d v="1899-12-30T00:00:00"/>
    <n v="7.7083333333333337E-2"/>
    <n v="-4307"/>
    <n v="0.40069444444444446"/>
    <x v="423"/>
    <x v="19"/>
    <n v="28"/>
    <n v="258487"/>
    <x v="10"/>
    <n v="4.3099999999999996"/>
    <x v="0"/>
    <x v="1"/>
    <x v="2"/>
  </r>
  <r>
    <x v="354"/>
    <x v="28"/>
    <d v="2006-10-24T00:00:00"/>
    <n v="1"/>
    <n v="0.39930555555555558"/>
    <x v="264"/>
    <x v="324"/>
    <d v="1899-12-30T00:00:00"/>
    <n v="8.4027777777777771E-2"/>
    <n v="-6462"/>
    <n v="0.17430555555555557"/>
    <x v="424"/>
    <x v="302"/>
    <n v="56"/>
    <n v="232106"/>
    <x v="11"/>
    <n v="3.87"/>
    <x v="0"/>
    <x v="0"/>
    <x v="1"/>
  </r>
  <r>
    <x v="355"/>
    <x v="28"/>
    <d v="2006-10-24T00:00:00"/>
    <n v="2"/>
    <n v="0.12013888888888889"/>
    <x v="234"/>
    <x v="325"/>
    <d v="1899-12-30T00:00:00"/>
    <n v="0.66805555555555562"/>
    <n v="-2098"/>
    <n v="0.22430555555555556"/>
    <x v="425"/>
    <x v="303"/>
    <n v="61"/>
    <n v="173066"/>
    <x v="11"/>
    <n v="2.88"/>
    <x v="1"/>
    <x v="1"/>
    <x v="1"/>
  </r>
  <r>
    <x v="243"/>
    <x v="28"/>
    <d v="2006-10-24T00:00:00"/>
    <n v="3"/>
    <n v="0.19999999999999998"/>
    <x v="45"/>
    <x v="156"/>
    <d v="1899-12-30T00:00:00"/>
    <n v="8.2638888888888887E-2"/>
    <n v="-6941"/>
    <n v="0.16041666666666668"/>
    <x v="426"/>
    <x v="115"/>
    <n v="63"/>
    <n v="203040"/>
    <x v="11"/>
    <n v="3.38"/>
    <x v="0"/>
    <x v="0"/>
    <x v="1"/>
  </r>
  <r>
    <x v="265"/>
    <x v="28"/>
    <d v="2006-10-24T00:00:00"/>
    <n v="4"/>
    <s v="0.051"/>
    <x v="196"/>
    <x v="93"/>
    <d v="1899-12-30T00:00:00"/>
    <d v="1899-12-30T00:32:00"/>
    <n v="-2881"/>
    <n v="0.22500000000000001"/>
    <x v="427"/>
    <x v="304"/>
    <n v="55"/>
    <n v="199200"/>
    <x v="11"/>
    <n v="3.32"/>
    <x v="0"/>
    <x v="1"/>
    <x v="1"/>
  </r>
  <r>
    <x v="356"/>
    <x v="28"/>
    <d v="2006-10-24T00:00:00"/>
    <n v="5"/>
    <n v="0.15069444444444444"/>
    <x v="265"/>
    <x v="326"/>
    <d v="1899-12-30T00:00:00"/>
    <n v="8.5416666666666655E-2"/>
    <n v="-5769"/>
    <n v="0.18472222222222223"/>
    <x v="428"/>
    <x v="86"/>
    <n v="55"/>
    <n v="239013"/>
    <x v="11"/>
    <n v="3.98"/>
    <x v="0"/>
    <x v="0"/>
    <x v="1"/>
  </r>
  <r>
    <x v="357"/>
    <x v="28"/>
    <d v="2006-10-24T00:00:00"/>
    <n v="6"/>
    <s v="0.00491"/>
    <x v="34"/>
    <x v="34"/>
    <d v="1899-12-30T00:00:00"/>
    <d v="1899-12-30T00:24:00"/>
    <n v="-4055"/>
    <n v="0.20347222222222225"/>
    <x v="429"/>
    <x v="305"/>
    <n v="54"/>
    <n v="207106"/>
    <x v="11"/>
    <n v="3.45"/>
    <x v="1"/>
    <x v="1"/>
    <x v="1"/>
  </r>
  <r>
    <x v="273"/>
    <x v="28"/>
    <d v="2006-10-24T00:00:00"/>
    <n v="7"/>
    <n v="0.36458333333333331"/>
    <x v="266"/>
    <x v="70"/>
    <d v="1899-12-30T00:00:00"/>
    <n v="0.58402777777777781"/>
    <n v="-4963"/>
    <n v="0.20416666666666669"/>
    <x v="430"/>
    <x v="278"/>
    <n v="54"/>
    <n v="248106"/>
    <x v="11"/>
    <n v="4.1399999999999997"/>
    <x v="0"/>
    <x v="1"/>
    <x v="1"/>
  </r>
  <r>
    <x v="358"/>
    <x v="28"/>
    <d v="2006-10-24T00:00:00"/>
    <n v="8"/>
    <n v="0.60277777777777775"/>
    <x v="88"/>
    <x v="230"/>
    <d v="1899-12-30T00:00:00"/>
    <n v="9.5138888888888884E-2"/>
    <n v="-4919"/>
    <n v="0.17083333333333331"/>
    <x v="431"/>
    <x v="306"/>
    <n v="53"/>
    <n v="236053"/>
    <x v="11"/>
    <n v="3.93"/>
    <x v="0"/>
    <x v="1"/>
    <x v="1"/>
  </r>
  <r>
    <x v="359"/>
    <x v="28"/>
    <d v="2006-10-24T00:00:00"/>
    <n v="9"/>
    <n v="7.1527777777777773E-2"/>
    <x v="28"/>
    <x v="93"/>
    <d v="1899-12-30T00:00:00"/>
    <n v="0.1361111111111111"/>
    <n v="-3771"/>
    <n v="0.20069444444444443"/>
    <x v="432"/>
    <x v="121"/>
    <n v="60"/>
    <n v="242200"/>
    <x v="11"/>
    <n v="4.04"/>
    <x v="0"/>
    <x v="1"/>
    <x v="1"/>
  </r>
  <r>
    <x v="360"/>
    <x v="28"/>
    <d v="2006-10-24T00:00:00"/>
    <n v="10"/>
    <n v="0.12291666666666667"/>
    <x v="267"/>
    <x v="327"/>
    <d v="1899-12-30T00:00:00"/>
    <n v="0.12638888888888888"/>
    <s v="-5.28"/>
    <n v="0.20277777777777775"/>
    <x v="433"/>
    <x v="152"/>
    <n v="57"/>
    <n v="213080"/>
    <x v="11"/>
    <n v="3.55"/>
    <x v="0"/>
    <x v="1"/>
    <x v="1"/>
  </r>
  <r>
    <x v="244"/>
    <x v="28"/>
    <d v="2006-10-24T00:00:00"/>
    <n v="11"/>
    <n v="7.7083333333333337E-2"/>
    <x v="192"/>
    <x v="328"/>
    <d v="1899-12-30T00:00:00"/>
    <n v="0.22847222222222222"/>
    <n v="-4931"/>
    <n v="0.21041666666666667"/>
    <x v="434"/>
    <x v="37"/>
    <n v="64"/>
    <n v="201106"/>
    <x v="11"/>
    <n v="3.35"/>
    <x v="0"/>
    <x v="1"/>
    <x v="1"/>
  </r>
  <r>
    <x v="280"/>
    <x v="28"/>
    <d v="2006-10-24T00:00:00"/>
    <n v="12"/>
    <s v="0.00452"/>
    <x v="126"/>
    <x v="329"/>
    <s v="0.000807"/>
    <n v="7.1527777777777773E-2"/>
    <n v="-3629"/>
    <n v="0.44861111111111113"/>
    <x v="435"/>
    <x v="171"/>
    <n v="56"/>
    <n v="213053"/>
    <x v="11"/>
    <n v="3.55"/>
    <x v="0"/>
    <x v="1"/>
    <x v="1"/>
  </r>
  <r>
    <x v="268"/>
    <x v="28"/>
    <d v="2006-10-24T00:00:00"/>
    <n v="13"/>
    <n v="0.44236111111111115"/>
    <x v="139"/>
    <x v="330"/>
    <d v="1899-12-30T00:00:00"/>
    <n v="0.10208333333333335"/>
    <n v="-5723"/>
    <n v="0.16874999999999998"/>
    <x v="436"/>
    <x v="217"/>
    <n v="54"/>
    <n v="203226"/>
    <x v="11"/>
    <n v="3.39"/>
    <x v="0"/>
    <x v="0"/>
    <x v="1"/>
  </r>
  <r>
    <x v="361"/>
    <x v="28"/>
    <d v="2006-10-24T00:00:00"/>
    <n v="14"/>
    <s v="0.00349"/>
    <x v="230"/>
    <x v="11"/>
    <d v="1899-12-30T00:00:00"/>
    <n v="8.8888888888888892E-2"/>
    <n v="-5726"/>
    <n v="0.25347222222222221"/>
    <x v="437"/>
    <x v="159"/>
    <n v="53"/>
    <n v="220146"/>
    <x v="11"/>
    <n v="3.67"/>
    <x v="0"/>
    <x v="1"/>
    <x v="1"/>
  </r>
  <r>
    <x v="362"/>
    <x v="28"/>
    <d v="2006-10-24T00:00:00"/>
    <n v="15"/>
    <n v="0.27916666666666667"/>
    <x v="252"/>
    <x v="331"/>
    <d v="1899-12-30T00:00:00"/>
    <n v="0.59930555555555554"/>
    <n v="-3827"/>
    <n v="0.37291666666666662"/>
    <x v="438"/>
    <x v="173"/>
    <n v="55"/>
    <n v="179066"/>
    <x v="11"/>
    <n v="2.98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B31:E44" firstHeaderRow="0" firstDataRow="1" firstDataCol="1"/>
  <pivotFields count="20">
    <pivotField showAll="0"/>
    <pivotField showAll="0"/>
    <pivotField numFmtId="164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 defaultSubtota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ergy" fld="6" subtotal="average" baseField="15" baseItem="0"/>
    <dataField name="Average of danceability" fld="5" subtotal="average" baseField="15" baseItem="0"/>
    <dataField name="Average of valence" fld="12" subtotal="average" baseField="15" baseItem="5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B16:C29" firstHeaderRow="1" firstDataRow="1" firstDataCol="1"/>
  <pivotFields count="20">
    <pivotField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 defaultSubtota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energy" fld="6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B65:C69" firstHeaderRow="1" firstDataRow="1" firstDataCol="1" rowPageCount="1" colPageCount="1"/>
  <pivotFields count="20">
    <pivotField dataField="1" showAll="0">
      <items count="364">
        <item x="245"/>
        <item x="178"/>
        <item x="47"/>
        <item x="223"/>
        <item x="157"/>
        <item x="103"/>
        <item x="361"/>
        <item x="265"/>
        <item x="219"/>
        <item x="238"/>
        <item x="127"/>
        <item x="102"/>
        <item x="285"/>
        <item x="35"/>
        <item x="77"/>
        <item x="195"/>
        <item x="257"/>
        <item x="121"/>
        <item x="323"/>
        <item x="331"/>
        <item x="55"/>
        <item x="311"/>
        <item x="288"/>
        <item x="52"/>
        <item x="38"/>
        <item x="348"/>
        <item x="272"/>
        <item x="113"/>
        <item x="83"/>
        <item x="316"/>
        <item x="270"/>
        <item x="119"/>
        <item x="325"/>
        <item x="312"/>
        <item x="62"/>
        <item x="184"/>
        <item x="201"/>
        <item x="89"/>
        <item x="283"/>
        <item x="294"/>
        <item x="32"/>
        <item x="269"/>
        <item x="134"/>
        <item x="5"/>
        <item x="153"/>
        <item x="236"/>
        <item x="172"/>
        <item x="189"/>
        <item x="26"/>
        <item x="72"/>
        <item x="155"/>
        <item x="261"/>
        <item x="353"/>
        <item x="140"/>
        <item x="19"/>
        <item x="15"/>
        <item x="289"/>
        <item x="43"/>
        <item x="167"/>
        <item x="356"/>
        <item x="264"/>
        <item x="115"/>
        <item x="335"/>
        <item x="144"/>
        <item x="162"/>
        <item x="213"/>
        <item x="164"/>
        <item x="206"/>
        <item x="233"/>
        <item x="222"/>
        <item x="324"/>
        <item x="318"/>
        <item x="57"/>
        <item x="94"/>
        <item x="214"/>
        <item x="227"/>
        <item x="226"/>
        <item x="152"/>
        <item x="161"/>
        <item x="3"/>
        <item x="234"/>
        <item x="315"/>
        <item x="69"/>
        <item x="260"/>
        <item x="319"/>
        <item x="61"/>
        <item x="224"/>
        <item x="183"/>
        <item x="200"/>
        <item x="168"/>
        <item x="300"/>
        <item x="111"/>
        <item x="174"/>
        <item x="191"/>
        <item x="217"/>
        <item x="259"/>
        <item x="347"/>
        <item x="128"/>
        <item x="250"/>
        <item x="129"/>
        <item x="7"/>
        <item x="73"/>
        <item x="275"/>
        <item x="334"/>
        <item x="143"/>
        <item x="138"/>
        <item x="124"/>
        <item x="0"/>
        <item x="6"/>
        <item x="231"/>
        <item x="302"/>
        <item x="116"/>
        <item x="92"/>
        <item x="156"/>
        <item x="230"/>
        <item x="8"/>
        <item x="160"/>
        <item x="254"/>
        <item x="332"/>
        <item x="320"/>
        <item x="64"/>
        <item x="276"/>
        <item x="131"/>
        <item x="91"/>
        <item x="95"/>
        <item x="186"/>
        <item x="203"/>
        <item x="242"/>
        <item x="108"/>
        <item x="20"/>
        <item x="249"/>
        <item x="40"/>
        <item x="295"/>
        <item x="104"/>
        <item x="123"/>
        <item x="12"/>
        <item x="10"/>
        <item x="71"/>
        <item x="225"/>
        <item x="247"/>
        <item x="205"/>
        <item x="22"/>
        <item x="101"/>
        <item x="246"/>
        <item x="282"/>
        <item x="292"/>
        <item x="42"/>
        <item x="24"/>
        <item x="210"/>
        <item x="317"/>
        <item x="287"/>
        <item x="293"/>
        <item x="37"/>
        <item x="329"/>
        <item x="180"/>
        <item x="197"/>
        <item x="280"/>
        <item x="17"/>
        <item x="326"/>
        <item x="63"/>
        <item x="268"/>
        <item x="181"/>
        <item x="198"/>
        <item x="51"/>
        <item x="221"/>
        <item x="170"/>
        <item x="163"/>
        <item x="271"/>
        <item x="141"/>
        <item x="85"/>
        <item x="97"/>
        <item x="232"/>
        <item x="84"/>
        <item x="327"/>
        <item x="314"/>
        <item x="65"/>
        <item x="75"/>
        <item x="11"/>
        <item x="215"/>
        <item x="328"/>
        <item x="321"/>
        <item x="66"/>
        <item x="165"/>
        <item x="228"/>
        <item x="338"/>
        <item x="346"/>
        <item x="130"/>
        <item x="207"/>
        <item x="182"/>
        <item x="199"/>
        <item x="166"/>
        <item x="76"/>
        <item x="360"/>
        <item x="87"/>
        <item x="220"/>
        <item x="248"/>
        <item x="309"/>
        <item x="58"/>
        <item x="122"/>
        <item x="80"/>
        <item x="251"/>
        <item x="307"/>
        <item x="322"/>
        <item x="53"/>
        <item x="176"/>
        <item x="193"/>
        <item x="211"/>
        <item x="149"/>
        <item x="2"/>
        <item x="175"/>
        <item x="192"/>
        <item x="255"/>
        <item x="60"/>
        <item x="291"/>
        <item x="46"/>
        <item x="237"/>
        <item x="159"/>
        <item x="120"/>
        <item x="49"/>
        <item x="244"/>
        <item x="343"/>
        <item x="262"/>
        <item x="310"/>
        <item x="67"/>
        <item x="263"/>
        <item x="34"/>
        <item x="212"/>
        <item x="90"/>
        <item x="185"/>
        <item x="202"/>
        <item x="27"/>
        <item x="355"/>
        <item x="351"/>
        <item x="81"/>
        <item x="241"/>
        <item x="304"/>
        <item x="99"/>
        <item x="169"/>
        <item x="29"/>
        <item x="118"/>
        <item x="125"/>
        <item x="299"/>
        <item x="109"/>
        <item x="48"/>
        <item x="177"/>
        <item x="194"/>
        <item x="286"/>
        <item x="36"/>
        <item x="359"/>
        <item x="345"/>
        <item x="352"/>
        <item x="78"/>
        <item x="96"/>
        <item x="21"/>
        <item x="229"/>
        <item x="4"/>
        <item x="216"/>
        <item x="252"/>
        <item x="306"/>
        <item x="54"/>
        <item x="277"/>
        <item x="313"/>
        <item x="56"/>
        <item x="281"/>
        <item x="112"/>
        <item x="253"/>
        <item x="305"/>
        <item x="117"/>
        <item x="98"/>
        <item x="358"/>
        <item x="297"/>
        <item x="106"/>
        <item x="284"/>
        <item x="33"/>
        <item x="50"/>
        <item x="330"/>
        <item x="68"/>
        <item x="336"/>
        <item x="145"/>
        <item x="86"/>
        <item x="344"/>
        <item x="350"/>
        <item x="362"/>
        <item x="243"/>
        <item x="340"/>
        <item x="135"/>
        <item x="23"/>
        <item x="151"/>
        <item x="171"/>
        <item x="188"/>
        <item x="18"/>
        <item x="14"/>
        <item x="209"/>
        <item x="240"/>
        <item x="139"/>
        <item x="16"/>
        <item x="28"/>
        <item x="88"/>
        <item x="187"/>
        <item x="204"/>
        <item x="173"/>
        <item x="190"/>
        <item x="298"/>
        <item x="107"/>
        <item x="267"/>
        <item x="110"/>
        <item x="208"/>
        <item x="30"/>
        <item x="301"/>
        <item x="114"/>
        <item x="337"/>
        <item x="146"/>
        <item x="357"/>
        <item x="25"/>
        <item x="13"/>
        <item x="274"/>
        <item x="308"/>
        <item x="59"/>
        <item x="1"/>
        <item x="126"/>
        <item x="342"/>
        <item x="137"/>
        <item x="179"/>
        <item x="196"/>
        <item x="235"/>
        <item x="266"/>
        <item x="41"/>
        <item x="273"/>
        <item x="354"/>
        <item x="74"/>
        <item x="147"/>
        <item x="158"/>
        <item x="256"/>
        <item x="303"/>
        <item x="100"/>
        <item x="333"/>
        <item x="349"/>
        <item x="142"/>
        <item x="82"/>
        <item x="296"/>
        <item x="105"/>
        <item x="150"/>
        <item x="258"/>
        <item x="31"/>
        <item x="70"/>
        <item x="279"/>
        <item x="132"/>
        <item x="9"/>
        <item x="239"/>
        <item x="39"/>
        <item x="154"/>
        <item x="278"/>
        <item x="44"/>
        <item x="93"/>
        <item x="148"/>
        <item x="290"/>
        <item x="45"/>
        <item x="339"/>
        <item x="133"/>
        <item x="218"/>
        <item x="136"/>
        <item x="341"/>
        <item x="79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h="1" x="11"/>
        <item h="1" x="10"/>
        <item h="1" x="9"/>
        <item h="1" x="8"/>
        <item h="1" x="7"/>
        <item h="1" x="6"/>
        <item h="1" x="5"/>
        <item x="4"/>
        <item x="3"/>
        <item x="2"/>
        <item x="1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5" hier="-1"/>
  </pageFields>
  <dataFields count="1">
    <dataField name="Count of name" fld="0" subtotal="count" baseField="17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8000000}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>
  <location ref="G3:H33" firstHeaderRow="1" firstDataRow="1" firstDataCol="1"/>
  <pivotFields count="20">
    <pivotField showAll="0"/>
    <pivotField axis="axisRow" showAll="0" sortType="descending">
      <items count="30">
        <item x="0"/>
        <item x="1"/>
        <item x="28"/>
        <item x="22"/>
        <item x="4"/>
        <item x="24"/>
        <item x="23"/>
        <item x="17"/>
        <item x="16"/>
        <item x="8"/>
        <item x="20"/>
        <item x="21"/>
        <item x="5"/>
        <item x="6"/>
        <item x="7"/>
        <item x="15"/>
        <item x="27"/>
        <item x="12"/>
        <item x="13"/>
        <item x="14"/>
        <item x="9"/>
        <item x="25"/>
        <item x="26"/>
        <item x="10"/>
        <item x="11"/>
        <item x="2"/>
        <item x="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</pivotFields>
  <rowFields count="1">
    <field x="1"/>
  </rowFields>
  <rowItems count="30">
    <i>
      <x v="3"/>
    </i>
    <i>
      <x v="6"/>
    </i>
    <i>
      <x v="4"/>
    </i>
    <i>
      <x v="5"/>
    </i>
    <i>
      <x v="9"/>
    </i>
    <i>
      <x v="21"/>
    </i>
    <i>
      <x v="10"/>
    </i>
    <i>
      <x v="20"/>
    </i>
    <i>
      <x v="1"/>
    </i>
    <i>
      <x v="23"/>
    </i>
    <i>
      <x v="11"/>
    </i>
    <i>
      <x v="24"/>
    </i>
    <i>
      <x v="7"/>
    </i>
    <i>
      <x v="22"/>
    </i>
    <i>
      <x v="19"/>
    </i>
    <i>
      <x v="17"/>
    </i>
    <i>
      <x/>
    </i>
    <i>
      <x v="18"/>
    </i>
    <i>
      <x v="28"/>
    </i>
    <i>
      <x v="8"/>
    </i>
    <i>
      <x v="26"/>
    </i>
    <i>
      <x v="25"/>
    </i>
    <i>
      <x v="27"/>
    </i>
    <i>
      <x v="2"/>
    </i>
    <i>
      <x v="12"/>
    </i>
    <i>
      <x v="16"/>
    </i>
    <i>
      <x v="13"/>
    </i>
    <i>
      <x v="15"/>
    </i>
    <i>
      <x v="14"/>
    </i>
    <i t="grand">
      <x/>
    </i>
  </rowItems>
  <colItems count="1">
    <i/>
  </colItems>
  <dataFields count="1">
    <dataField name="Average of duration_ms2" fld="16" subtotal="average" baseField="1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B3:C14" firstHeaderRow="1" firstDataRow="1" firstDataCol="1"/>
  <pivotFields count="20">
    <pivotField showAll="0"/>
    <pivotField axis="axisRow" showAll="0" measureFilter="1" sortType="descending">
      <items count="30">
        <item x="19"/>
        <item x="18"/>
        <item x="3"/>
        <item x="2"/>
        <item x="11"/>
        <item x="10"/>
        <item x="26"/>
        <item x="25"/>
        <item x="9"/>
        <item x="14"/>
        <item x="13"/>
        <item x="12"/>
        <item x="27"/>
        <item x="15"/>
        <item x="7"/>
        <item x="6"/>
        <item x="5"/>
        <item x="21"/>
        <item x="20"/>
        <item x="8"/>
        <item x="16"/>
        <item x="17"/>
        <item x="23"/>
        <item x="24"/>
        <item x="4"/>
        <item x="22"/>
        <item x="28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</pivotFields>
  <rowFields count="1">
    <field x="1"/>
  </rowFields>
  <rowItems count="11">
    <i>
      <x v="28"/>
    </i>
    <i>
      <x v="27"/>
    </i>
    <i>
      <x v="13"/>
    </i>
    <i>
      <x v="20"/>
    </i>
    <i>
      <x v="14"/>
    </i>
    <i>
      <x v="9"/>
    </i>
    <i>
      <x v="2"/>
    </i>
    <i>
      <x v="24"/>
    </i>
    <i>
      <x v="19"/>
    </i>
    <i>
      <x v="4"/>
    </i>
    <i t="grand">
      <x/>
    </i>
  </rowItems>
  <colItems count="1">
    <i/>
  </colItems>
  <dataFields count="1">
    <dataField name="Average of popularity" fld="13" subtotal="average" baseField="1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B59:C62" firstHeaderRow="1" firstDataRow="1" firstDataCol="1"/>
  <pivotFields count="20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Average of popularity" fld="13" subtotal="average" baseField="18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B47:E51" firstHeaderRow="0" firstDataRow="1" firstDataCol="1"/>
  <pivotFields count="20">
    <pivotField showAll="0"/>
    <pivotField showAll="0"/>
    <pivotField numFmtId="164" showAll="0"/>
    <pivotField showAll="0"/>
    <pivotField showAll="0"/>
    <pivotField dataField="1" showAll="0">
      <items count="269">
        <item x="109"/>
        <item x="256"/>
        <item x="13"/>
        <item x="78"/>
        <item x="195"/>
        <item x="184"/>
        <item x="30"/>
        <item x="138"/>
        <item x="227"/>
        <item x="170"/>
        <item x="263"/>
        <item x="173"/>
        <item x="166"/>
        <item x="152"/>
        <item x="131"/>
        <item x="148"/>
        <item x="240"/>
        <item x="77"/>
        <item x="242"/>
        <item x="26"/>
        <item x="262"/>
        <item x="17"/>
        <item x="155"/>
        <item x="20"/>
        <item x="238"/>
        <item x="53"/>
        <item x="42"/>
        <item x="107"/>
        <item x="127"/>
        <item x="120"/>
        <item x="154"/>
        <item x="259"/>
        <item x="117"/>
        <item x="267"/>
        <item x="247"/>
        <item x="265"/>
        <item x="236"/>
        <item x="24"/>
        <item x="215"/>
        <item x="4"/>
        <item x="12"/>
        <item x="239"/>
        <item x="237"/>
        <item x="123"/>
        <item x="178"/>
        <item x="246"/>
        <item x="158"/>
        <item x="253"/>
        <item x="209"/>
        <item x="104"/>
        <item x="122"/>
        <item x="27"/>
        <item x="142"/>
        <item x="252"/>
        <item x="128"/>
        <item x="190"/>
        <item x="167"/>
        <item x="258"/>
        <item x="106"/>
        <item x="221"/>
        <item x="28"/>
        <item x="212"/>
        <item x="266"/>
        <item x="219"/>
        <item x="124"/>
        <item x="230"/>
        <item x="21"/>
        <item x="51"/>
        <item x="257"/>
        <item x="159"/>
        <item x="19"/>
        <item x="235"/>
        <item x="98"/>
        <item x="119"/>
        <item x="95"/>
        <item x="210"/>
        <item x="0"/>
        <item x="57"/>
        <item x="116"/>
        <item x="29"/>
        <item x="92"/>
        <item x="129"/>
        <item x="32"/>
        <item x="132"/>
        <item x="18"/>
        <item x="243"/>
        <item x="100"/>
        <item x="5"/>
        <item x="58"/>
        <item x="249"/>
        <item x="54"/>
        <item x="15"/>
        <item x="145"/>
        <item x="156"/>
        <item x="169"/>
        <item x="7"/>
        <item x="133"/>
        <item x="194"/>
        <item x="63"/>
        <item x="161"/>
        <item x="62"/>
        <item x="3"/>
        <item x="205"/>
        <item x="33"/>
        <item x="193"/>
        <item x="121"/>
        <item x="64"/>
        <item x="254"/>
        <item x="143"/>
        <item x="172"/>
        <item x="168"/>
        <item x="43"/>
        <item x="255"/>
        <item x="216"/>
        <item x="60"/>
        <item x="113"/>
        <item x="187"/>
        <item x="126"/>
        <item x="93"/>
        <item x="112"/>
        <item x="82"/>
        <item x="40"/>
        <item x="206"/>
        <item x="186"/>
        <item x="130"/>
        <item x="196"/>
        <item x="202"/>
        <item x="65"/>
        <item x="136"/>
        <item x="248"/>
        <item x="244"/>
        <item x="90"/>
        <item x="251"/>
        <item x="25"/>
        <item x="125"/>
        <item x="34"/>
        <item x="198"/>
        <item x="137"/>
        <item x="147"/>
        <item x="88"/>
        <item x="149"/>
        <item x="2"/>
        <item x="118"/>
        <item x="48"/>
        <item x="97"/>
        <item x="144"/>
        <item x="204"/>
        <item x="1"/>
        <item x="50"/>
        <item x="9"/>
        <item x="213"/>
        <item x="208"/>
        <item x="22"/>
        <item x="108"/>
        <item x="139"/>
        <item x="165"/>
        <item x="87"/>
        <item x="211"/>
        <item x="250"/>
        <item x="162"/>
        <item x="45"/>
        <item x="96"/>
        <item x="105"/>
        <item x="37"/>
        <item x="8"/>
        <item x="114"/>
        <item x="99"/>
        <item x="67"/>
        <item x="111"/>
        <item x="35"/>
        <item x="70"/>
        <item x="101"/>
        <item x="91"/>
        <item x="150"/>
        <item x="89"/>
        <item x="217"/>
        <item x="49"/>
        <item x="225"/>
        <item x="183"/>
        <item x="146"/>
        <item x="226"/>
        <item x="44"/>
        <item x="73"/>
        <item x="69"/>
        <item x="234"/>
        <item x="10"/>
        <item x="171"/>
        <item x="71"/>
        <item x="86"/>
        <item x="85"/>
        <item x="192"/>
        <item x="36"/>
        <item x="66"/>
        <item x="84"/>
        <item x="188"/>
        <item x="151"/>
        <item x="83"/>
        <item x="110"/>
        <item x="163"/>
        <item x="55"/>
        <item x="14"/>
        <item x="75"/>
        <item x="140"/>
        <item x="134"/>
        <item x="103"/>
        <item x="94"/>
        <item x="157"/>
        <item x="47"/>
        <item x="72"/>
        <item x="11"/>
        <item x="81"/>
        <item x="201"/>
        <item x="233"/>
        <item x="207"/>
        <item x="153"/>
        <item x="177"/>
        <item x="200"/>
        <item x="245"/>
        <item x="189"/>
        <item x="228"/>
        <item x="261"/>
        <item x="31"/>
        <item x="231"/>
        <item x="52"/>
        <item x="68"/>
        <item x="182"/>
        <item x="179"/>
        <item x="260"/>
        <item x="224"/>
        <item x="181"/>
        <item x="38"/>
        <item x="23"/>
        <item x="197"/>
        <item x="218"/>
        <item x="185"/>
        <item x="180"/>
        <item x="164"/>
        <item x="222"/>
        <item x="41"/>
        <item x="16"/>
        <item x="115"/>
        <item x="203"/>
        <item x="223"/>
        <item x="175"/>
        <item x="220"/>
        <item x="176"/>
        <item x="232"/>
        <item x="214"/>
        <item x="74"/>
        <item x="174"/>
        <item x="46"/>
        <item x="141"/>
        <item x="6"/>
        <item x="241"/>
        <item x="61"/>
        <item x="135"/>
        <item x="80"/>
        <item x="199"/>
        <item x="59"/>
        <item x="102"/>
        <item x="39"/>
        <item x="76"/>
        <item x="56"/>
        <item x="229"/>
        <item x="191"/>
        <item x="79"/>
        <item x="264"/>
        <item x="160"/>
        <item t="default"/>
      </items>
    </pivotField>
    <pivotField dataField="1" showAll="0">
      <items count="333">
        <item x="104"/>
        <item x="221"/>
        <item x="271"/>
        <item x="38"/>
        <item x="129"/>
        <item x="194"/>
        <item x="5"/>
        <item x="149"/>
        <item x="297"/>
        <item x="198"/>
        <item x="273"/>
        <item x="250"/>
        <item x="110"/>
        <item x="211"/>
        <item x="177"/>
        <item x="82"/>
        <item x="169"/>
        <item x="199"/>
        <item x="163"/>
        <item x="190"/>
        <item x="195"/>
        <item x="320"/>
        <item x="178"/>
        <item x="166"/>
        <item x="171"/>
        <item x="161"/>
        <item x="28"/>
        <item x="9"/>
        <item x="164"/>
        <item x="183"/>
        <item x="155"/>
        <item x="319"/>
        <item x="78"/>
        <item x="10"/>
        <item x="131"/>
        <item x="23"/>
        <item x="111"/>
        <item x="172"/>
        <item x="162"/>
        <item x="80"/>
        <item x="159"/>
        <item x="168"/>
        <item x="289"/>
        <item x="226"/>
        <item x="175"/>
        <item x="14"/>
        <item x="74"/>
        <item x="293"/>
        <item x="170"/>
        <item x="146"/>
        <item x="8"/>
        <item x="56"/>
        <item x="312"/>
        <item x="83"/>
        <item x="176"/>
        <item x="304"/>
        <item x="243"/>
        <item x="278"/>
        <item x="179"/>
        <item x="145"/>
        <item x="61"/>
        <item x="3"/>
        <item x="137"/>
        <item x="154"/>
        <item x="76"/>
        <item x="26"/>
        <item x="113"/>
        <item x="19"/>
        <item x="72"/>
        <item x="0"/>
        <item x="16"/>
        <item x="330"/>
        <item x="282"/>
        <item x="91"/>
        <item x="107"/>
        <item x="203"/>
        <item x="102"/>
        <item x="184"/>
        <item x="44"/>
        <item x="156"/>
        <item x="13"/>
        <item x="217"/>
        <item x="1"/>
        <item x="144"/>
        <item x="235"/>
        <item x="265"/>
        <item x="125"/>
        <item x="308"/>
        <item x="214"/>
        <item x="71"/>
        <item x="18"/>
        <item x="188"/>
        <item x="299"/>
        <item x="268"/>
        <item x="160"/>
        <item x="301"/>
        <item x="143"/>
        <item x="218"/>
        <item x="173"/>
        <item x="53"/>
        <item x="208"/>
        <item x="314"/>
        <item x="139"/>
        <item x="63"/>
        <item x="186"/>
        <item x="158"/>
        <item x="17"/>
        <item x="262"/>
        <item x="326"/>
        <item x="6"/>
        <item x="306"/>
        <item x="118"/>
        <item x="324"/>
        <item x="39"/>
        <item x="200"/>
        <item x="267"/>
        <item x="210"/>
        <item x="236"/>
        <item x="269"/>
        <item x="42"/>
        <item x="283"/>
        <item x="279"/>
        <item x="122"/>
        <item x="86"/>
        <item x="24"/>
        <item x="239"/>
        <item x="106"/>
        <item x="96"/>
        <item x="130"/>
        <item x="4"/>
        <item x="100"/>
        <item x="205"/>
        <item x="147"/>
        <item x="45"/>
        <item x="22"/>
        <item x="192"/>
        <item x="148"/>
        <item x="87"/>
        <item x="233"/>
        <item x="79"/>
        <item x="117"/>
        <item x="57"/>
        <item x="133"/>
        <item x="295"/>
        <item x="95"/>
        <item x="98"/>
        <item x="150"/>
        <item x="21"/>
        <item x="2"/>
        <item x="132"/>
        <item x="68"/>
        <item x="103"/>
        <item x="7"/>
        <item x="141"/>
        <item x="127"/>
        <item x="70"/>
        <item x="112"/>
        <item x="180"/>
        <item x="27"/>
        <item x="25"/>
        <item x="202"/>
        <item x="94"/>
        <item x="287"/>
        <item x="29"/>
        <item x="241"/>
        <item x="291"/>
        <item x="212"/>
        <item x="286"/>
        <item x="46"/>
        <item x="138"/>
        <item x="260"/>
        <item x="59"/>
        <item x="69"/>
        <item x="167"/>
        <item x="81"/>
        <item x="227"/>
        <item x="185"/>
        <item x="140"/>
        <item x="92"/>
        <item x="327"/>
        <item x="62"/>
        <item x="230"/>
        <item x="108"/>
        <item x="157"/>
        <item x="51"/>
        <item x="303"/>
        <item x="311"/>
        <item x="48"/>
        <item x="120"/>
        <item x="73"/>
        <item x="47"/>
        <item x="153"/>
        <item x="248"/>
        <item x="220"/>
        <item x="193"/>
        <item x="256"/>
        <item x="181"/>
        <item x="37"/>
        <item x="255"/>
        <item x="197"/>
        <item x="328"/>
        <item x="263"/>
        <item x="251"/>
        <item x="99"/>
        <item x="294"/>
        <item x="105"/>
        <item x="52"/>
        <item x="298"/>
        <item x="213"/>
        <item x="206"/>
        <item x="207"/>
        <item x="242"/>
        <item x="281"/>
        <item x="97"/>
        <item x="317"/>
        <item x="189"/>
        <item x="191"/>
        <item x="41"/>
        <item x="151"/>
        <item x="310"/>
        <item x="204"/>
        <item x="36"/>
        <item x="307"/>
        <item x="33"/>
        <item x="302"/>
        <item x="116"/>
        <item x="229"/>
        <item x="30"/>
        <item x="315"/>
        <item x="296"/>
        <item x="245"/>
        <item x="285"/>
        <item x="261"/>
        <item x="126"/>
        <item x="64"/>
        <item x="252"/>
        <item x="109"/>
        <item x="119"/>
        <item x="114"/>
        <item x="84"/>
        <item x="264"/>
        <item x="11"/>
        <item x="331"/>
        <item x="219"/>
        <item x="309"/>
        <item x="66"/>
        <item x="318"/>
        <item x="257"/>
        <item x="201"/>
        <item x="234"/>
        <item x="67"/>
        <item x="50"/>
        <item x="305"/>
        <item x="123"/>
        <item x="313"/>
        <item x="93"/>
        <item x="135"/>
        <item x="222"/>
        <item x="223"/>
        <item x="274"/>
        <item x="55"/>
        <item x="228"/>
        <item x="90"/>
        <item x="209"/>
        <item x="115"/>
        <item x="121"/>
        <item x="49"/>
        <item x="247"/>
        <item x="321"/>
        <item x="254"/>
        <item x="34"/>
        <item x="40"/>
        <item x="323"/>
        <item x="101"/>
        <item x="128"/>
        <item x="216"/>
        <item x="136"/>
        <item x="284"/>
        <item x="31"/>
        <item x="258"/>
        <item x="224"/>
        <item x="240"/>
        <item x="232"/>
        <item x="238"/>
        <item x="89"/>
        <item x="43"/>
        <item x="275"/>
        <item x="35"/>
        <item x="65"/>
        <item x="288"/>
        <item x="20"/>
        <item x="322"/>
        <item x="134"/>
        <item x="325"/>
        <item x="32"/>
        <item x="280"/>
        <item x="249"/>
        <item x="58"/>
        <item x="259"/>
        <item x="253"/>
        <item x="215"/>
        <item x="272"/>
        <item x="276"/>
        <item x="124"/>
        <item x="277"/>
        <item x="60"/>
        <item x="290"/>
        <item x="244"/>
        <item x="329"/>
        <item x="292"/>
        <item x="225"/>
        <item x="174"/>
        <item x="54"/>
        <item x="246"/>
        <item x="300"/>
        <item x="85"/>
        <item x="142"/>
        <item x="165"/>
        <item x="15"/>
        <item x="187"/>
        <item x="196"/>
        <item x="266"/>
        <item x="182"/>
        <item x="75"/>
        <item x="12"/>
        <item x="316"/>
        <item x="88"/>
        <item x="237"/>
        <item x="77"/>
        <item x="231"/>
        <item x="152"/>
        <item x="270"/>
        <item t="default"/>
      </items>
    </pivotField>
    <pivotField showAll="0"/>
    <pivotField showAll="0"/>
    <pivotField showAll="0"/>
    <pivotField showAll="0"/>
    <pivotField showAll="0">
      <items count="440">
        <item x="196"/>
        <item x="222"/>
        <item x="235"/>
        <item x="19"/>
        <item x="320"/>
        <item x="280"/>
        <item x="119"/>
        <item x="158"/>
        <item x="242"/>
        <item x="262"/>
        <item x="207"/>
        <item x="174"/>
        <item x="424"/>
        <item x="326"/>
        <item x="258"/>
        <item x="349"/>
        <item x="70"/>
        <item x="47"/>
        <item x="11"/>
        <item x="307"/>
        <item x="113"/>
        <item x="283"/>
        <item x="159"/>
        <item x="337"/>
        <item x="353"/>
        <item x="65"/>
        <item x="115"/>
        <item x="275"/>
        <item x="111"/>
        <item x="339"/>
        <item x="5"/>
        <item x="82"/>
        <item x="282"/>
        <item x="381"/>
        <item x="335"/>
        <item x="344"/>
        <item x="153"/>
        <item x="377"/>
        <item x="154"/>
        <item x="61"/>
        <item x="272"/>
        <item x="368"/>
        <item x="238"/>
        <item x="214"/>
        <item x="198"/>
        <item x="181"/>
        <item x="20"/>
        <item x="372"/>
        <item x="232"/>
        <item x="45"/>
        <item x="385"/>
        <item x="330"/>
        <item x="189"/>
        <item x="6"/>
        <item x="163"/>
        <item x="434"/>
        <item x="178"/>
        <item x="204"/>
        <item x="211"/>
        <item x="195"/>
        <item x="97"/>
        <item x="85"/>
        <item x="151"/>
        <item x="24"/>
        <item x="34"/>
        <item x="313"/>
        <item x="274"/>
        <item x="294"/>
        <item x="243"/>
        <item x="391"/>
        <item x="290"/>
        <item x="220"/>
        <item x="127"/>
        <item x="183"/>
        <item x="332"/>
        <item x="228"/>
        <item x="30"/>
        <item x="216"/>
        <item x="33"/>
        <item x="210"/>
        <item x="293"/>
        <item x="177"/>
        <item x="194"/>
        <item x="312"/>
        <item x="240"/>
        <item x="263"/>
        <item x="401"/>
        <item x="129"/>
        <item x="388"/>
        <item x="217"/>
        <item x="184"/>
        <item x="279"/>
        <item x="23"/>
        <item x="140"/>
        <item x="436"/>
        <item x="311"/>
        <item x="88"/>
        <item x="412"/>
        <item x="32"/>
        <item x="399"/>
        <item x="166"/>
        <item x="417"/>
        <item x="77"/>
        <item x="314"/>
        <item x="73"/>
        <item x="35"/>
        <item x="2"/>
        <item x="356"/>
        <item x="418"/>
        <item x="426"/>
        <item x="255"/>
        <item x="414"/>
        <item x="387"/>
        <item x="331"/>
        <item x="407"/>
        <item x="51"/>
        <item x="225"/>
        <item x="394"/>
        <item x="135"/>
        <item x="14"/>
        <item x="128"/>
        <item x="271"/>
        <item x="152"/>
        <item x="360"/>
        <item x="227"/>
        <item x="419"/>
        <item x="226"/>
        <item x="322"/>
        <item x="103"/>
        <item x="328"/>
        <item x="343"/>
        <item x="257"/>
        <item x="15"/>
        <item x="425"/>
        <item x="342"/>
        <item x="421"/>
        <item x="22"/>
        <item x="150"/>
        <item x="10"/>
        <item x="94"/>
        <item x="162"/>
        <item x="76"/>
        <item x="81"/>
        <item x="354"/>
        <item x="96"/>
        <item x="48"/>
        <item x="100"/>
        <item x="193"/>
        <item x="49"/>
        <item x="325"/>
        <item x="268"/>
        <item x="17"/>
        <item x="84"/>
        <item x="78"/>
        <item x="223"/>
        <item x="209"/>
        <item x="176"/>
        <item x="1"/>
        <item x="233"/>
        <item x="429"/>
        <item x="54"/>
        <item x="265"/>
        <item x="345"/>
        <item x="276"/>
        <item x="427"/>
        <item x="122"/>
        <item x="390"/>
        <item x="287"/>
        <item x="124"/>
        <item x="31"/>
        <item x="292"/>
        <item x="310"/>
        <item x="197"/>
        <item x="110"/>
        <item x="278"/>
        <item x="334"/>
        <item x="259"/>
        <item x="316"/>
        <item x="37"/>
        <item x="297"/>
        <item x="50"/>
        <item x="308"/>
        <item x="143"/>
        <item x="219"/>
        <item x="203"/>
        <item x="352"/>
        <item x="383"/>
        <item x="363"/>
        <item x="288"/>
        <item x="389"/>
        <item x="56"/>
        <item x="416"/>
        <item x="130"/>
        <item x="402"/>
        <item x="364"/>
        <item x="57"/>
        <item x="357"/>
        <item x="213"/>
        <item x="161"/>
        <item x="319"/>
        <item x="261"/>
        <item x="300"/>
        <item x="40"/>
        <item x="79"/>
        <item x="247"/>
        <item x="346"/>
        <item x="126"/>
        <item x="264"/>
        <item x="378"/>
        <item x="53"/>
        <item x="306"/>
        <item x="46"/>
        <item x="160"/>
        <item x="71"/>
        <item x="224"/>
        <item x="267"/>
        <item x="367"/>
        <item x="324"/>
        <item x="253"/>
        <item x="341"/>
        <item x="125"/>
        <item x="99"/>
        <item x="340"/>
        <item x="60"/>
        <item x="116"/>
        <item x="168"/>
        <item x="114"/>
        <item x="112"/>
        <item x="336"/>
        <item x="411"/>
        <item x="252"/>
        <item x="398"/>
        <item x="309"/>
        <item x="164"/>
        <item x="397"/>
        <item x="286"/>
        <item x="192"/>
        <item x="175"/>
        <item x="98"/>
        <item x="392"/>
        <item x="323"/>
        <item x="405"/>
        <item x="333"/>
        <item x="12"/>
        <item x="133"/>
        <item x="172"/>
        <item x="109"/>
        <item x="69"/>
        <item x="431"/>
        <item x="68"/>
        <item x="375"/>
        <item x="63"/>
        <item x="136"/>
        <item x="370"/>
        <item x="395"/>
        <item x="179"/>
        <item x="212"/>
        <item x="239"/>
        <item x="149"/>
        <item x="80"/>
        <item x="169"/>
        <item x="29"/>
        <item x="59"/>
        <item x="188"/>
        <item x="347"/>
        <item x="205"/>
        <item x="171"/>
        <item x="285"/>
        <item x="26"/>
        <item x="39"/>
        <item x="299"/>
        <item x="251"/>
        <item x="92"/>
        <item x="376"/>
        <item x="199"/>
        <item x="55"/>
        <item x="182"/>
        <item x="215"/>
        <item x="362"/>
        <item x="350"/>
        <item x="13"/>
        <item x="74"/>
        <item x="148"/>
        <item x="144"/>
        <item x="281"/>
        <item x="277"/>
        <item x="435"/>
        <item x="41"/>
        <item x="329"/>
        <item x="369"/>
        <item x="62"/>
        <item x="157"/>
        <item x="351"/>
        <item x="284"/>
        <item x="430"/>
        <item x="72"/>
        <item x="374"/>
        <item x="206"/>
        <item x="406"/>
        <item x="190"/>
        <item x="393"/>
        <item x="173"/>
        <item x="134"/>
        <item x="123"/>
        <item x="202"/>
        <item x="236"/>
        <item x="218"/>
        <item x="185"/>
        <item x="7"/>
        <item x="167"/>
        <item x="170"/>
        <item x="191"/>
        <item x="101"/>
        <item x="16"/>
        <item x="437"/>
        <item x="108"/>
        <item x="254"/>
        <item x="165"/>
        <item x="93"/>
        <item x="229"/>
        <item x="147"/>
        <item x="237"/>
        <item x="3"/>
        <item x="67"/>
        <item x="273"/>
        <item x="321"/>
        <item x="302"/>
        <item x="291"/>
        <item x="42"/>
        <item x="246"/>
        <item x="36"/>
        <item x="296"/>
        <item x="141"/>
        <item x="4"/>
        <item x="409"/>
        <item x="396"/>
        <item x="137"/>
        <item x="64"/>
        <item x="266"/>
        <item x="359"/>
        <item x="358"/>
        <item x="348"/>
        <item x="386"/>
        <item x="260"/>
        <item x="146"/>
        <item x="58"/>
        <item x="249"/>
        <item x="83"/>
        <item x="365"/>
        <item x="89"/>
        <item x="121"/>
        <item x="25"/>
        <item x="432"/>
        <item x="415"/>
        <item x="221"/>
        <item x="38"/>
        <item x="52"/>
        <item x="305"/>
        <item x="317"/>
        <item x="298"/>
        <item x="155"/>
        <item x="422"/>
        <item x="145"/>
        <item x="18"/>
        <item x="105"/>
        <item x="244"/>
        <item x="428"/>
        <item x="91"/>
        <item x="27"/>
        <item x="413"/>
        <item x="256"/>
        <item x="187"/>
        <item x="234"/>
        <item x="28"/>
        <item x="304"/>
        <item x="289"/>
        <item x="132"/>
        <item x="102"/>
        <item x="250"/>
        <item x="0"/>
        <item x="438"/>
        <item x="382"/>
        <item x="142"/>
        <item x="423"/>
        <item x="66"/>
        <item x="373"/>
        <item x="420"/>
        <item x="230"/>
        <item x="117"/>
        <item x="120"/>
        <item x="303"/>
        <item x="43"/>
        <item x="90"/>
        <item x="131"/>
        <item x="186"/>
        <item x="9"/>
        <item x="87"/>
        <item x="208"/>
        <item x="408"/>
        <item x="380"/>
        <item x="366"/>
        <item x="379"/>
        <item x="384"/>
        <item x="301"/>
        <item x="104"/>
        <item x="248"/>
        <item x="269"/>
        <item x="231"/>
        <item x="404"/>
        <item x="200"/>
        <item x="8"/>
        <item x="201"/>
        <item x="295"/>
        <item x="433"/>
        <item x="327"/>
        <item x="107"/>
        <item x="75"/>
        <item x="106"/>
        <item x="400"/>
        <item x="355"/>
        <item x="95"/>
        <item x="245"/>
        <item x="156"/>
        <item x="403"/>
        <item x="118"/>
        <item x="270"/>
        <item x="180"/>
        <item x="361"/>
        <item x="44"/>
        <item x="139"/>
        <item x="338"/>
        <item x="410"/>
        <item x="138"/>
        <item x="241"/>
        <item x="318"/>
        <item x="315"/>
        <item x="371"/>
        <item x="21"/>
        <item x="86"/>
        <item t="default"/>
      </items>
    </pivotField>
    <pivotField dataField="1" showAll="0">
      <items count="308">
        <item x="30"/>
        <item x="251"/>
        <item x="283"/>
        <item x="273"/>
        <item x="144"/>
        <item x="104"/>
        <item x="156"/>
        <item x="76"/>
        <item x="184"/>
        <item x="230"/>
        <item x="163"/>
        <item x="164"/>
        <item x="151"/>
        <item x="170"/>
        <item x="55"/>
        <item x="79"/>
        <item x="253"/>
        <item x="61"/>
        <item x="78"/>
        <item x="81"/>
        <item x="265"/>
        <item x="277"/>
        <item x="85"/>
        <item x="177"/>
        <item x="49"/>
        <item x="95"/>
        <item x="160"/>
        <item x="167"/>
        <item x="27"/>
        <item x="147"/>
        <item x="191"/>
        <item x="128"/>
        <item x="3"/>
        <item x="129"/>
        <item x="174"/>
        <item x="266"/>
        <item x="32"/>
        <item x="46"/>
        <item x="63"/>
        <item x="262"/>
        <item x="278"/>
        <item x="197"/>
        <item x="11"/>
        <item x="50"/>
        <item x="75"/>
        <item x="267"/>
        <item x="113"/>
        <item x="291"/>
        <item x="101"/>
        <item x="140"/>
        <item x="293"/>
        <item x="15"/>
        <item x="212"/>
        <item x="18"/>
        <item x="139"/>
        <item x="216"/>
        <item x="126"/>
        <item x="59"/>
        <item x="218"/>
        <item x="97"/>
        <item x="217"/>
        <item x="66"/>
        <item x="53"/>
        <item x="9"/>
        <item x="120"/>
        <item x="161"/>
        <item x="4"/>
        <item x="264"/>
        <item x="22"/>
        <item x="106"/>
        <item x="279"/>
        <item x="86"/>
        <item x="13"/>
        <item x="87"/>
        <item x="41"/>
        <item x="159"/>
        <item x="127"/>
        <item x="19"/>
        <item x="256"/>
        <item x="0"/>
        <item x="200"/>
        <item x="143"/>
        <item x="284"/>
        <item x="115"/>
        <item x="1"/>
        <item x="20"/>
        <item x="285"/>
        <item x="241"/>
        <item x="270"/>
        <item x="21"/>
        <item x="31"/>
        <item x="90"/>
        <item x="196"/>
        <item x="286"/>
        <item x="294"/>
        <item x="221"/>
        <item x="45"/>
        <item x="199"/>
        <item x="202"/>
        <item x="10"/>
        <item x="232"/>
        <item x="118"/>
        <item x="255"/>
        <item x="88"/>
        <item x="300"/>
        <item x="280"/>
        <item x="249"/>
        <item x="227"/>
        <item x="186"/>
        <item x="238"/>
        <item x="124"/>
        <item x="169"/>
        <item x="36"/>
        <item x="138"/>
        <item x="68"/>
        <item x="14"/>
        <item x="141"/>
        <item x="276"/>
        <item x="165"/>
        <item x="290"/>
        <item x="52"/>
        <item x="296"/>
        <item x="62"/>
        <item x="261"/>
        <item x="152"/>
        <item x="269"/>
        <item x="178"/>
        <item x="214"/>
        <item x="72"/>
        <item x="23"/>
        <item x="204"/>
        <item x="48"/>
        <item x="74"/>
        <item x="246"/>
        <item x="7"/>
        <item x="102"/>
        <item x="43"/>
        <item x="179"/>
        <item x="158"/>
        <item x="135"/>
        <item x="80"/>
        <item x="89"/>
        <item x="180"/>
        <item x="116"/>
        <item x="146"/>
        <item x="195"/>
        <item x="193"/>
        <item x="302"/>
        <item x="304"/>
        <item x="187"/>
        <item x="260"/>
        <item x="168"/>
        <item x="28"/>
        <item x="5"/>
        <item x="259"/>
        <item x="77"/>
        <item x="288"/>
        <item x="107"/>
        <item x="155"/>
        <item x="189"/>
        <item x="154"/>
        <item x="237"/>
        <item x="299"/>
        <item x="203"/>
        <item x="229"/>
        <item x="242"/>
        <item x="123"/>
        <item x="121"/>
        <item x="110"/>
        <item x="99"/>
        <item x="157"/>
        <item x="2"/>
        <item x="173"/>
        <item x="8"/>
        <item x="109"/>
        <item x="231"/>
        <item x="225"/>
        <item x="198"/>
        <item x="185"/>
        <item x="240"/>
        <item x="306"/>
        <item x="183"/>
        <item x="245"/>
        <item x="134"/>
        <item x="96"/>
        <item x="298"/>
        <item x="172"/>
        <item x="25"/>
        <item x="171"/>
        <item x="38"/>
        <item x="222"/>
        <item x="35"/>
        <item x="39"/>
        <item x="243"/>
        <item x="136"/>
        <item x="137"/>
        <item x="148"/>
        <item x="24"/>
        <item x="98"/>
        <item x="37"/>
        <item x="119"/>
        <item x="166"/>
        <item x="211"/>
        <item x="274"/>
        <item x="84"/>
        <item x="175"/>
        <item x="57"/>
        <item x="69"/>
        <item x="219"/>
        <item x="188"/>
        <item x="207"/>
        <item x="58"/>
        <item x="142"/>
        <item x="82"/>
        <item x="234"/>
        <item x="112"/>
        <item x="236"/>
        <item x="233"/>
        <item x="254"/>
        <item x="305"/>
        <item x="56"/>
        <item x="54"/>
        <item x="100"/>
        <item x="103"/>
        <item x="162"/>
        <item x="235"/>
        <item x="224"/>
        <item x="125"/>
        <item x="40"/>
        <item x="130"/>
        <item x="190"/>
        <item x="257"/>
        <item x="247"/>
        <item x="92"/>
        <item x="145"/>
        <item x="205"/>
        <item x="206"/>
        <item x="282"/>
        <item x="70"/>
        <item x="275"/>
        <item x="215"/>
        <item x="60"/>
        <item x="213"/>
        <item x="94"/>
        <item x="297"/>
        <item x="209"/>
        <item x="250"/>
        <item x="281"/>
        <item x="122"/>
        <item x="208"/>
        <item x="248"/>
        <item x="258"/>
        <item x="301"/>
        <item x="29"/>
        <item x="268"/>
        <item x="149"/>
        <item x="83"/>
        <item x="176"/>
        <item x="132"/>
        <item x="93"/>
        <item x="44"/>
        <item x="194"/>
        <item x="271"/>
        <item x="108"/>
        <item x="91"/>
        <item x="47"/>
        <item x="210"/>
        <item x="117"/>
        <item x="272"/>
        <item x="67"/>
        <item x="303"/>
        <item x="287"/>
        <item x="292"/>
        <item x="220"/>
        <item x="223"/>
        <item x="201"/>
        <item x="244"/>
        <item x="192"/>
        <item x="34"/>
        <item x="252"/>
        <item x="228"/>
        <item x="239"/>
        <item x="71"/>
        <item x="64"/>
        <item x="51"/>
        <item x="133"/>
        <item x="17"/>
        <item x="150"/>
        <item x="289"/>
        <item x="12"/>
        <item x="16"/>
        <item x="65"/>
        <item x="263"/>
        <item x="26"/>
        <item x="42"/>
        <item x="6"/>
        <item x="105"/>
        <item x="111"/>
        <item x="153"/>
        <item x="114"/>
        <item x="131"/>
        <item x="182"/>
        <item x="181"/>
        <item x="73"/>
        <item x="33"/>
        <item x="295"/>
        <item x="22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defaultSubtotal="0">
      <items count="3">
        <item x="2"/>
        <item x="1"/>
        <item x="0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anceability" fld="5" subtotal="average" baseField="19" baseItem="0"/>
    <dataField name="Average of energy" fld="6" subtotal="average" baseField="19" baseItem="0"/>
    <dataField name="Average of valence" fld="12" subtotal="average" baseField="19" baseItem="0"/>
  </dataFields>
  <chartFormats count="3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J3:K16" firstHeaderRow="1" firstDataRow="1" firstDataCol="1"/>
  <pivotFields count="20">
    <pivotField axis="axisRow" showAll="0" measureFilter="1">
      <items count="364">
        <item x="245"/>
        <item x="178"/>
        <item x="47"/>
        <item x="223"/>
        <item x="157"/>
        <item x="103"/>
        <item x="361"/>
        <item x="265"/>
        <item x="219"/>
        <item x="238"/>
        <item x="127"/>
        <item x="102"/>
        <item x="285"/>
        <item x="35"/>
        <item x="77"/>
        <item x="195"/>
        <item x="257"/>
        <item x="121"/>
        <item x="323"/>
        <item x="331"/>
        <item x="55"/>
        <item x="311"/>
        <item x="288"/>
        <item x="52"/>
        <item x="38"/>
        <item x="348"/>
        <item x="272"/>
        <item x="113"/>
        <item x="83"/>
        <item x="316"/>
        <item x="270"/>
        <item x="119"/>
        <item x="325"/>
        <item x="312"/>
        <item x="62"/>
        <item x="184"/>
        <item x="201"/>
        <item x="89"/>
        <item x="283"/>
        <item x="294"/>
        <item x="32"/>
        <item x="269"/>
        <item x="134"/>
        <item x="5"/>
        <item x="153"/>
        <item x="236"/>
        <item x="172"/>
        <item x="189"/>
        <item x="26"/>
        <item x="72"/>
        <item x="155"/>
        <item x="261"/>
        <item x="353"/>
        <item x="140"/>
        <item x="19"/>
        <item x="15"/>
        <item x="289"/>
        <item x="43"/>
        <item x="167"/>
        <item x="356"/>
        <item x="264"/>
        <item x="115"/>
        <item x="335"/>
        <item x="144"/>
        <item x="162"/>
        <item x="213"/>
        <item x="164"/>
        <item x="206"/>
        <item x="233"/>
        <item x="222"/>
        <item x="324"/>
        <item x="318"/>
        <item x="57"/>
        <item x="94"/>
        <item x="214"/>
        <item x="227"/>
        <item x="226"/>
        <item x="152"/>
        <item x="161"/>
        <item x="3"/>
        <item x="234"/>
        <item x="315"/>
        <item x="69"/>
        <item x="260"/>
        <item x="319"/>
        <item x="61"/>
        <item x="224"/>
        <item x="183"/>
        <item x="200"/>
        <item x="168"/>
        <item x="300"/>
        <item x="111"/>
        <item x="174"/>
        <item x="191"/>
        <item x="217"/>
        <item x="259"/>
        <item x="347"/>
        <item x="128"/>
        <item x="250"/>
        <item x="129"/>
        <item x="7"/>
        <item x="73"/>
        <item x="275"/>
        <item x="334"/>
        <item x="143"/>
        <item x="138"/>
        <item x="124"/>
        <item x="0"/>
        <item x="6"/>
        <item x="231"/>
        <item x="302"/>
        <item x="116"/>
        <item x="92"/>
        <item x="156"/>
        <item x="230"/>
        <item x="8"/>
        <item x="160"/>
        <item x="254"/>
        <item x="332"/>
        <item x="320"/>
        <item x="64"/>
        <item x="276"/>
        <item x="131"/>
        <item x="91"/>
        <item x="95"/>
        <item x="186"/>
        <item x="203"/>
        <item x="242"/>
        <item x="108"/>
        <item x="20"/>
        <item x="249"/>
        <item x="40"/>
        <item x="295"/>
        <item x="104"/>
        <item x="123"/>
        <item x="12"/>
        <item x="10"/>
        <item x="71"/>
        <item x="225"/>
        <item x="247"/>
        <item x="205"/>
        <item x="22"/>
        <item x="101"/>
        <item x="246"/>
        <item x="282"/>
        <item x="292"/>
        <item x="42"/>
        <item x="24"/>
        <item x="210"/>
        <item x="317"/>
        <item x="287"/>
        <item x="293"/>
        <item x="37"/>
        <item x="329"/>
        <item x="180"/>
        <item x="197"/>
        <item x="280"/>
        <item x="17"/>
        <item x="326"/>
        <item x="63"/>
        <item x="268"/>
        <item x="181"/>
        <item x="198"/>
        <item x="51"/>
        <item x="221"/>
        <item x="170"/>
        <item x="163"/>
        <item x="271"/>
        <item x="141"/>
        <item x="85"/>
        <item x="97"/>
        <item x="232"/>
        <item x="84"/>
        <item x="327"/>
        <item x="314"/>
        <item x="65"/>
        <item x="75"/>
        <item x="11"/>
        <item x="215"/>
        <item x="328"/>
        <item x="321"/>
        <item x="66"/>
        <item x="165"/>
        <item x="228"/>
        <item x="338"/>
        <item x="346"/>
        <item x="130"/>
        <item x="207"/>
        <item x="182"/>
        <item x="199"/>
        <item x="166"/>
        <item x="76"/>
        <item x="360"/>
        <item x="87"/>
        <item x="220"/>
        <item x="248"/>
        <item x="309"/>
        <item x="58"/>
        <item x="122"/>
        <item x="80"/>
        <item x="251"/>
        <item x="307"/>
        <item x="322"/>
        <item x="53"/>
        <item x="176"/>
        <item x="193"/>
        <item x="211"/>
        <item x="149"/>
        <item x="2"/>
        <item x="175"/>
        <item x="192"/>
        <item x="255"/>
        <item x="60"/>
        <item x="291"/>
        <item x="46"/>
        <item x="237"/>
        <item x="159"/>
        <item x="120"/>
        <item x="49"/>
        <item x="244"/>
        <item x="343"/>
        <item x="262"/>
        <item x="310"/>
        <item x="67"/>
        <item x="263"/>
        <item x="34"/>
        <item x="212"/>
        <item x="90"/>
        <item x="185"/>
        <item x="202"/>
        <item x="27"/>
        <item x="355"/>
        <item x="351"/>
        <item x="81"/>
        <item x="241"/>
        <item x="304"/>
        <item x="99"/>
        <item x="169"/>
        <item x="29"/>
        <item x="118"/>
        <item x="125"/>
        <item x="299"/>
        <item x="109"/>
        <item x="48"/>
        <item x="177"/>
        <item x="194"/>
        <item x="286"/>
        <item x="36"/>
        <item x="359"/>
        <item x="345"/>
        <item x="352"/>
        <item x="78"/>
        <item x="96"/>
        <item x="21"/>
        <item x="229"/>
        <item x="4"/>
        <item x="216"/>
        <item x="252"/>
        <item x="306"/>
        <item x="54"/>
        <item x="277"/>
        <item x="313"/>
        <item x="56"/>
        <item x="281"/>
        <item x="112"/>
        <item x="253"/>
        <item x="305"/>
        <item x="117"/>
        <item x="98"/>
        <item x="358"/>
        <item x="297"/>
        <item x="106"/>
        <item x="284"/>
        <item x="33"/>
        <item x="50"/>
        <item x="330"/>
        <item x="68"/>
        <item x="336"/>
        <item x="145"/>
        <item x="86"/>
        <item x="344"/>
        <item x="350"/>
        <item x="362"/>
        <item x="243"/>
        <item x="340"/>
        <item x="135"/>
        <item x="23"/>
        <item x="151"/>
        <item x="171"/>
        <item x="188"/>
        <item x="18"/>
        <item x="14"/>
        <item x="209"/>
        <item x="240"/>
        <item x="139"/>
        <item x="16"/>
        <item x="28"/>
        <item x="88"/>
        <item x="187"/>
        <item x="204"/>
        <item x="173"/>
        <item x="190"/>
        <item x="298"/>
        <item x="107"/>
        <item x="267"/>
        <item x="110"/>
        <item x="208"/>
        <item x="30"/>
        <item x="301"/>
        <item x="114"/>
        <item x="337"/>
        <item x="146"/>
        <item x="357"/>
        <item x="25"/>
        <item x="13"/>
        <item x="274"/>
        <item x="308"/>
        <item x="59"/>
        <item x="1"/>
        <item x="126"/>
        <item x="342"/>
        <item x="137"/>
        <item x="179"/>
        <item x="196"/>
        <item x="235"/>
        <item x="266"/>
        <item x="41"/>
        <item x="273"/>
        <item x="354"/>
        <item x="74"/>
        <item x="147"/>
        <item x="158"/>
        <item x="256"/>
        <item x="303"/>
        <item x="100"/>
        <item x="333"/>
        <item x="349"/>
        <item x="142"/>
        <item x="82"/>
        <item x="296"/>
        <item x="105"/>
        <item x="150"/>
        <item x="258"/>
        <item x="31"/>
        <item x="70"/>
        <item x="279"/>
        <item x="132"/>
        <item x="9"/>
        <item x="239"/>
        <item x="39"/>
        <item x="154"/>
        <item x="278"/>
        <item x="44"/>
        <item x="93"/>
        <item x="148"/>
        <item x="290"/>
        <item x="45"/>
        <item x="339"/>
        <item x="133"/>
        <item x="218"/>
        <item x="136"/>
        <item x="341"/>
        <item x="79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</pivotFields>
  <rowFields count="1">
    <field x="0"/>
  </rowFields>
  <rowItems count="13">
    <i>
      <x v="1"/>
    </i>
    <i>
      <x v="3"/>
    </i>
    <i>
      <x v="14"/>
    </i>
    <i>
      <x v="46"/>
    </i>
    <i>
      <x v="67"/>
    </i>
    <i>
      <x v="76"/>
    </i>
    <i>
      <x v="79"/>
    </i>
    <i>
      <x v="107"/>
    </i>
    <i>
      <x v="115"/>
    </i>
    <i>
      <x v="135"/>
    </i>
    <i>
      <x v="187"/>
    </i>
    <i>
      <x v="253"/>
    </i>
    <i t="grand">
      <x/>
    </i>
  </rowItems>
  <colItems count="1">
    <i/>
  </colItems>
  <dataFields count="1">
    <dataField name="Max of popularity" fld="13" subtotal="max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B53:C56" firstHeaderRow="1" firstDataRow="1" firstDataCol="1"/>
  <pivotFields count="20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40">
        <item x="196"/>
        <item x="222"/>
        <item x="235"/>
        <item x="19"/>
        <item x="320"/>
        <item x="280"/>
        <item x="119"/>
        <item x="158"/>
        <item x="242"/>
        <item x="262"/>
        <item x="207"/>
        <item x="174"/>
        <item x="424"/>
        <item x="326"/>
        <item x="258"/>
        <item x="349"/>
        <item x="70"/>
        <item x="47"/>
        <item x="11"/>
        <item x="307"/>
        <item x="113"/>
        <item x="283"/>
        <item x="159"/>
        <item x="337"/>
        <item x="353"/>
        <item x="65"/>
        <item x="115"/>
        <item x="275"/>
        <item x="111"/>
        <item x="339"/>
        <item x="5"/>
        <item x="82"/>
        <item x="282"/>
        <item x="381"/>
        <item x="335"/>
        <item x="344"/>
        <item x="153"/>
        <item x="377"/>
        <item x="154"/>
        <item x="61"/>
        <item x="272"/>
        <item x="368"/>
        <item x="238"/>
        <item x="214"/>
        <item x="198"/>
        <item x="181"/>
        <item x="20"/>
        <item x="372"/>
        <item x="232"/>
        <item x="45"/>
        <item x="385"/>
        <item x="330"/>
        <item x="189"/>
        <item x="6"/>
        <item x="163"/>
        <item x="434"/>
        <item x="178"/>
        <item x="204"/>
        <item x="211"/>
        <item x="195"/>
        <item x="97"/>
        <item x="85"/>
        <item x="151"/>
        <item x="24"/>
        <item x="34"/>
        <item x="313"/>
        <item x="274"/>
        <item x="294"/>
        <item x="243"/>
        <item x="391"/>
        <item x="290"/>
        <item x="220"/>
        <item x="127"/>
        <item x="183"/>
        <item x="332"/>
        <item x="228"/>
        <item x="30"/>
        <item x="216"/>
        <item x="33"/>
        <item x="210"/>
        <item x="293"/>
        <item x="177"/>
        <item x="194"/>
        <item x="312"/>
        <item x="240"/>
        <item x="263"/>
        <item x="401"/>
        <item x="129"/>
        <item x="388"/>
        <item x="217"/>
        <item x="184"/>
        <item x="279"/>
        <item x="23"/>
        <item x="140"/>
        <item x="436"/>
        <item x="311"/>
        <item x="88"/>
        <item x="412"/>
        <item x="32"/>
        <item x="399"/>
        <item x="166"/>
        <item x="417"/>
        <item x="77"/>
        <item x="314"/>
        <item x="73"/>
        <item x="35"/>
        <item x="2"/>
        <item x="356"/>
        <item x="418"/>
        <item x="426"/>
        <item x="255"/>
        <item x="414"/>
        <item x="387"/>
        <item x="331"/>
        <item x="407"/>
        <item x="51"/>
        <item x="225"/>
        <item x="394"/>
        <item x="135"/>
        <item x="14"/>
        <item x="128"/>
        <item x="271"/>
        <item x="152"/>
        <item x="360"/>
        <item x="227"/>
        <item x="419"/>
        <item x="226"/>
        <item x="322"/>
        <item x="103"/>
        <item x="328"/>
        <item x="343"/>
        <item x="257"/>
        <item x="15"/>
        <item x="425"/>
        <item x="342"/>
        <item x="421"/>
        <item x="22"/>
        <item x="150"/>
        <item x="10"/>
        <item x="94"/>
        <item x="162"/>
        <item x="76"/>
        <item x="81"/>
        <item x="354"/>
        <item x="96"/>
        <item x="48"/>
        <item x="100"/>
        <item x="193"/>
        <item x="49"/>
        <item x="325"/>
        <item x="268"/>
        <item x="17"/>
        <item x="84"/>
        <item x="78"/>
        <item x="223"/>
        <item x="209"/>
        <item x="176"/>
        <item x="1"/>
        <item x="233"/>
        <item x="429"/>
        <item x="54"/>
        <item x="265"/>
        <item x="345"/>
        <item x="276"/>
        <item x="427"/>
        <item x="122"/>
        <item x="390"/>
        <item x="287"/>
        <item x="124"/>
        <item x="31"/>
        <item x="292"/>
        <item x="310"/>
        <item x="197"/>
        <item x="110"/>
        <item x="278"/>
        <item x="334"/>
        <item x="259"/>
        <item x="316"/>
        <item x="37"/>
        <item x="297"/>
        <item x="50"/>
        <item x="308"/>
        <item x="143"/>
        <item x="219"/>
        <item x="203"/>
        <item x="352"/>
        <item x="383"/>
        <item x="363"/>
        <item x="288"/>
        <item x="389"/>
        <item x="56"/>
        <item x="416"/>
        <item x="130"/>
        <item x="402"/>
        <item x="364"/>
        <item x="57"/>
        <item x="357"/>
        <item x="213"/>
        <item x="161"/>
        <item x="319"/>
        <item x="261"/>
        <item x="300"/>
        <item x="40"/>
        <item x="79"/>
        <item x="247"/>
        <item x="346"/>
        <item x="126"/>
        <item x="264"/>
        <item x="378"/>
        <item x="53"/>
        <item x="306"/>
        <item x="46"/>
        <item x="160"/>
        <item x="71"/>
        <item x="224"/>
        <item x="267"/>
        <item x="367"/>
        <item x="324"/>
        <item x="253"/>
        <item x="341"/>
        <item x="125"/>
        <item x="99"/>
        <item x="340"/>
        <item x="60"/>
        <item x="116"/>
        <item x="168"/>
        <item x="114"/>
        <item x="112"/>
        <item x="336"/>
        <item x="411"/>
        <item x="252"/>
        <item x="398"/>
        <item x="309"/>
        <item x="164"/>
        <item x="397"/>
        <item x="286"/>
        <item x="192"/>
        <item x="175"/>
        <item x="98"/>
        <item x="392"/>
        <item x="323"/>
        <item x="405"/>
        <item x="333"/>
        <item x="12"/>
        <item x="133"/>
        <item x="172"/>
        <item x="109"/>
        <item x="69"/>
        <item x="431"/>
        <item x="68"/>
        <item x="375"/>
        <item x="63"/>
        <item x="136"/>
        <item x="370"/>
        <item x="395"/>
        <item x="179"/>
        <item x="212"/>
        <item x="239"/>
        <item x="149"/>
        <item x="80"/>
        <item x="169"/>
        <item x="29"/>
        <item x="59"/>
        <item x="188"/>
        <item x="347"/>
        <item x="205"/>
        <item x="171"/>
        <item x="285"/>
        <item x="26"/>
        <item x="39"/>
        <item x="299"/>
        <item x="251"/>
        <item x="92"/>
        <item x="376"/>
        <item x="199"/>
        <item x="55"/>
        <item x="182"/>
        <item x="215"/>
        <item x="362"/>
        <item x="350"/>
        <item x="13"/>
        <item x="74"/>
        <item x="148"/>
        <item x="144"/>
        <item x="281"/>
        <item x="277"/>
        <item x="435"/>
        <item x="41"/>
        <item x="329"/>
        <item x="369"/>
        <item x="62"/>
        <item x="157"/>
        <item x="351"/>
        <item x="284"/>
        <item x="430"/>
        <item x="72"/>
        <item x="374"/>
        <item x="206"/>
        <item x="406"/>
        <item x="190"/>
        <item x="393"/>
        <item x="173"/>
        <item x="134"/>
        <item x="123"/>
        <item x="202"/>
        <item x="236"/>
        <item x="218"/>
        <item x="185"/>
        <item x="7"/>
        <item x="167"/>
        <item x="170"/>
        <item x="191"/>
        <item x="101"/>
        <item x="16"/>
        <item x="437"/>
        <item x="108"/>
        <item x="254"/>
        <item x="165"/>
        <item x="93"/>
        <item x="229"/>
        <item x="147"/>
        <item x="237"/>
        <item x="3"/>
        <item x="67"/>
        <item x="273"/>
        <item x="321"/>
        <item x="302"/>
        <item x="291"/>
        <item x="42"/>
        <item x="246"/>
        <item x="36"/>
        <item x="296"/>
        <item x="141"/>
        <item x="4"/>
        <item x="409"/>
        <item x="396"/>
        <item x="137"/>
        <item x="64"/>
        <item x="266"/>
        <item x="359"/>
        <item x="358"/>
        <item x="348"/>
        <item x="386"/>
        <item x="260"/>
        <item x="146"/>
        <item x="58"/>
        <item x="249"/>
        <item x="83"/>
        <item x="365"/>
        <item x="89"/>
        <item x="121"/>
        <item x="25"/>
        <item x="432"/>
        <item x="415"/>
        <item x="221"/>
        <item x="38"/>
        <item x="52"/>
        <item x="305"/>
        <item x="317"/>
        <item x="298"/>
        <item x="155"/>
        <item x="422"/>
        <item x="145"/>
        <item x="18"/>
        <item x="105"/>
        <item x="244"/>
        <item x="428"/>
        <item x="91"/>
        <item x="27"/>
        <item x="413"/>
        <item x="256"/>
        <item x="187"/>
        <item x="234"/>
        <item x="28"/>
        <item x="304"/>
        <item x="289"/>
        <item x="132"/>
        <item x="102"/>
        <item x="250"/>
        <item x="0"/>
        <item x="438"/>
        <item x="382"/>
        <item x="142"/>
        <item x="423"/>
        <item x="66"/>
        <item x="373"/>
        <item x="420"/>
        <item x="230"/>
        <item x="117"/>
        <item x="120"/>
        <item x="303"/>
        <item x="43"/>
        <item x="90"/>
        <item x="131"/>
        <item x="186"/>
        <item x="9"/>
        <item x="87"/>
        <item x="208"/>
        <item x="408"/>
        <item x="380"/>
        <item x="366"/>
        <item x="379"/>
        <item x="384"/>
        <item x="301"/>
        <item x="104"/>
        <item x="248"/>
        <item x="269"/>
        <item x="231"/>
        <item x="404"/>
        <item x="200"/>
        <item x="8"/>
        <item x="201"/>
        <item x="295"/>
        <item x="433"/>
        <item x="327"/>
        <item x="107"/>
        <item x="75"/>
        <item x="106"/>
        <item x="400"/>
        <item x="355"/>
        <item x="95"/>
        <item x="245"/>
        <item x="156"/>
        <item x="403"/>
        <item x="118"/>
        <item x="270"/>
        <item x="180"/>
        <item x="361"/>
        <item x="44"/>
        <item x="139"/>
        <item x="338"/>
        <item x="410"/>
        <item x="138"/>
        <item x="241"/>
        <item x="318"/>
        <item x="315"/>
        <item x="371"/>
        <item x="21"/>
        <item x="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h="1" x="1"/>
        <item x="0"/>
        <item t="default"/>
      </items>
    </pivotField>
  </pivotFields>
  <rowFields count="1">
    <field x="19"/>
  </rowFields>
  <rowItems count="3">
    <i>
      <x/>
    </i>
    <i>
      <x v="2"/>
    </i>
    <i t="grand">
      <x/>
    </i>
  </rowItems>
  <colItems count="1">
    <i/>
  </colItems>
  <dataFields count="1">
    <dataField name="Average of tempo" fld="11" subtotal="average" baseField="19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ylor_swift_spotify_1" connectionId="1" xr16:uid="{00000000-0016-0000-0000-000000000000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B2:U584" totalsRowShown="0" dataDxfId="20">
  <autoFilter ref="B2:U584" xr:uid="{00000000-0009-0000-0100-000002000000}"/>
  <tableColumns count="20">
    <tableColumn id="2" xr3:uid="{00000000-0010-0000-0000-000002000000}" name="name" dataDxfId="19"/>
    <tableColumn id="3" xr3:uid="{00000000-0010-0000-0000-000003000000}" name="album" dataDxfId="18"/>
    <tableColumn id="4" xr3:uid="{00000000-0010-0000-0000-000004000000}" name="release_date" dataDxfId="17"/>
    <tableColumn id="5" xr3:uid="{00000000-0010-0000-0000-000005000000}" name="track_number" dataDxfId="16"/>
    <tableColumn id="8" xr3:uid="{00000000-0010-0000-0000-000008000000}" name="acousticness" dataDxfId="15"/>
    <tableColumn id="9" xr3:uid="{00000000-0010-0000-0000-000009000000}" name="danceability" dataDxfId="14"/>
    <tableColumn id="10" xr3:uid="{00000000-0010-0000-0000-00000A000000}" name="energy" dataDxfId="13"/>
    <tableColumn id="11" xr3:uid="{00000000-0010-0000-0000-00000B000000}" name="instrumentalness" dataDxfId="12"/>
    <tableColumn id="12" xr3:uid="{00000000-0010-0000-0000-00000C000000}" name="liveness" dataDxfId="11"/>
    <tableColumn id="13" xr3:uid="{00000000-0010-0000-0000-00000D000000}" name="loudness" dataDxfId="10"/>
    <tableColumn id="14" xr3:uid="{00000000-0010-0000-0000-00000E000000}" name="speechiness" dataDxfId="9"/>
    <tableColumn id="15" xr3:uid="{00000000-0010-0000-0000-00000F000000}" name="tempo" dataDxfId="8"/>
    <tableColumn id="16" xr3:uid="{00000000-0010-0000-0000-000010000000}" name="valence" dataDxfId="7"/>
    <tableColumn id="17" xr3:uid="{00000000-0010-0000-0000-000011000000}" name="popularity" dataDxfId="6"/>
    <tableColumn id="18" xr3:uid="{00000000-0010-0000-0000-000012000000}" name="duration_ms" dataDxfId="5"/>
    <tableColumn id="1" xr3:uid="{00000000-0010-0000-0000-000001000000}" name="year" dataDxfId="4">
      <calculatedColumnFormula>YEAR(Table13[[#This Row],[release_date]])</calculatedColumnFormula>
    </tableColumn>
    <tableColumn id="6" xr3:uid="{00000000-0010-0000-0000-000006000000}" name="duration_ms2" dataDxfId="3">
      <calculatedColumnFormula>ROUND(Table13[[#This Row],[duration_ms]]/60000,2)</calculatedColumnFormula>
    </tableColumn>
    <tableColumn id="7" xr3:uid="{00000000-0010-0000-0000-000007000000}" name="mood_category" dataDxfId="2">
      <calculatedColumnFormula>IF(Table13[[#This Row],[valence]]&gt;=0.6, "Happy", IF(Table13[[#This Row],[valence]]&gt;=0.4, "Neutral", "Sad"))</calculatedColumnFormula>
    </tableColumn>
    <tableColumn id="19" xr3:uid="{00000000-0010-0000-0000-000013000000}" name="energy_category" dataDxfId="1">
      <calculatedColumnFormula>IF(Table13[[#This Row],[energy]]&gt;=0.7, "High Energy", IF(Table13[[#This Row],[energy]]&gt;=0.4, "Medium Energy", "Low Energy"))</calculatedColumnFormula>
    </tableColumn>
    <tableColumn id="20" xr3:uid="{00000000-0010-0000-0000-000014000000}" name="popularity_group" dataDxfId="0">
      <calculatedColumnFormula>IF(Table13[[#This Row],[popularity]]&gt;70, "Popular", IF(Table13[[#This Row],[popularity]]&lt;40, "Less Popular", "Mid"))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584"/>
  <sheetViews>
    <sheetView tabSelected="1" zoomScale="70" zoomScaleNormal="70" workbookViewId="0">
      <selection activeCell="B15" sqref="B15"/>
    </sheetView>
  </sheetViews>
  <sheetFormatPr defaultRowHeight="14.4" x14ac:dyDescent="0.3"/>
  <cols>
    <col min="2" max="4" width="68.88671875" bestFit="1" customWidth="1"/>
    <col min="5" max="5" width="11.88671875" bestFit="1" customWidth="1"/>
    <col min="6" max="6" width="12.5546875" bestFit="1" customWidth="1"/>
    <col min="7" max="7" width="32.44140625" bestFit="1" customWidth="1"/>
    <col min="8" max="8" width="44.6640625" bestFit="1" customWidth="1"/>
    <col min="9" max="11" width="14.109375" bestFit="1" customWidth="1"/>
    <col min="12" max="12" width="15.33203125" bestFit="1" customWidth="1"/>
    <col min="13" max="13" width="14.109375" bestFit="1" customWidth="1"/>
    <col min="14" max="14" width="8.21875" bestFit="1" customWidth="1"/>
    <col min="15" max="15" width="14.109375" bestFit="1" customWidth="1"/>
    <col min="16" max="16" width="10.33203125" bestFit="1" customWidth="1"/>
    <col min="17" max="17" width="14.109375" bestFit="1" customWidth="1"/>
    <col min="18" max="18" width="9.44140625" bestFit="1" customWidth="1"/>
    <col min="19" max="19" width="11.44140625" bestFit="1" customWidth="1"/>
  </cols>
  <sheetData>
    <row r="2" spans="2:19" x14ac:dyDescent="0.3">
      <c r="B2" t="s">
        <v>803</v>
      </c>
    </row>
    <row r="3" spans="2:19" ht="15.6" x14ac:dyDescent="0.3">
      <c r="B3" s="1" t="s">
        <v>804</v>
      </c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3"/>
      <c r="O3" s="1"/>
      <c r="P3" s="3"/>
      <c r="Q3" s="1"/>
      <c r="R3" s="1"/>
      <c r="S3" s="1"/>
    </row>
    <row r="4" spans="2:19" ht="15.6" x14ac:dyDescent="0.3">
      <c r="B4" s="1" t="s">
        <v>805</v>
      </c>
      <c r="C4" s="1"/>
      <c r="D4" s="1"/>
      <c r="E4" s="2"/>
      <c r="F4" s="1"/>
      <c r="G4" s="1"/>
      <c r="H4" s="1"/>
      <c r="I4" s="1"/>
      <c r="J4" s="1"/>
      <c r="K4" s="1"/>
      <c r="L4" s="4"/>
      <c r="M4" s="1"/>
      <c r="N4" s="3"/>
      <c r="O4" s="1"/>
      <c r="P4" s="3"/>
      <c r="Q4" s="1"/>
      <c r="R4" s="1"/>
      <c r="S4" s="1"/>
    </row>
    <row r="5" spans="2:19" ht="15.6" x14ac:dyDescent="0.3">
      <c r="B5" s="1" t="s">
        <v>806</v>
      </c>
      <c r="C5" s="1"/>
      <c r="D5" s="1"/>
      <c r="E5" s="2"/>
      <c r="F5" s="1"/>
      <c r="G5" s="1"/>
      <c r="H5" s="1"/>
      <c r="I5" s="1"/>
      <c r="J5" s="1"/>
      <c r="K5" s="1"/>
      <c r="L5" s="4"/>
      <c r="M5" s="1"/>
      <c r="N5" s="3"/>
      <c r="O5" s="1"/>
      <c r="P5" s="3"/>
      <c r="Q5" s="1"/>
      <c r="R5" s="1"/>
      <c r="S5" s="1"/>
    </row>
    <row r="6" spans="2:19" ht="15.6" x14ac:dyDescent="0.3">
      <c r="B6" s="1" t="s">
        <v>807</v>
      </c>
      <c r="C6" s="1"/>
      <c r="D6" s="1"/>
      <c r="E6" s="2"/>
      <c r="F6" s="1"/>
      <c r="G6" s="1"/>
      <c r="H6" s="1"/>
      <c r="I6" s="4"/>
      <c r="J6" s="1"/>
      <c r="K6" s="1"/>
      <c r="L6" s="5"/>
      <c r="M6" s="1"/>
      <c r="N6" s="3"/>
      <c r="O6" s="1"/>
      <c r="P6" s="3"/>
      <c r="Q6" s="1"/>
      <c r="R6" s="1"/>
      <c r="S6" s="1"/>
    </row>
    <row r="7" spans="2:19" ht="15.6" x14ac:dyDescent="0.3">
      <c r="B7" s="1" t="s">
        <v>808</v>
      </c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3"/>
      <c r="O7" s="1"/>
      <c r="P7" s="3"/>
      <c r="Q7" s="1"/>
      <c r="R7" s="1"/>
      <c r="S7" s="1"/>
    </row>
    <row r="8" spans="2:19" ht="15.6" x14ac:dyDescent="0.3">
      <c r="B8" s="1" t="s">
        <v>809</v>
      </c>
      <c r="C8" s="1"/>
      <c r="D8" s="1"/>
      <c r="E8" s="2"/>
      <c r="F8" s="1"/>
      <c r="G8" s="1"/>
      <c r="H8" s="1"/>
      <c r="I8" s="1"/>
      <c r="J8" s="1"/>
      <c r="K8" s="1"/>
      <c r="L8" s="4"/>
      <c r="M8" s="1"/>
      <c r="N8" s="3"/>
      <c r="O8" s="1"/>
      <c r="P8" s="3"/>
      <c r="Q8" s="1"/>
      <c r="R8" s="1"/>
      <c r="S8" s="1"/>
    </row>
    <row r="9" spans="2:19" ht="15.6" x14ac:dyDescent="0.3">
      <c r="B9" s="1" t="s">
        <v>810</v>
      </c>
      <c r="C9" s="1"/>
      <c r="D9" s="1"/>
      <c r="E9" s="2"/>
      <c r="F9" s="1"/>
      <c r="G9" s="1"/>
      <c r="H9" s="1"/>
      <c r="I9" s="1"/>
      <c r="J9" s="4"/>
      <c r="K9" s="1"/>
      <c r="L9" s="4"/>
      <c r="M9" s="1"/>
      <c r="N9" s="3"/>
      <c r="O9" s="1"/>
      <c r="P9" s="3"/>
      <c r="Q9" s="4"/>
      <c r="R9" s="1"/>
      <c r="S9" s="1"/>
    </row>
    <row r="10" spans="2:19" ht="15.6" x14ac:dyDescent="0.3">
      <c r="B10" s="1" t="s">
        <v>811</v>
      </c>
      <c r="C10" s="1"/>
      <c r="D10" s="1"/>
      <c r="E10" s="2"/>
      <c r="F10" s="1"/>
      <c r="G10" s="1"/>
      <c r="H10" s="1"/>
      <c r="I10" s="1"/>
      <c r="J10" s="1"/>
      <c r="K10" s="1"/>
      <c r="L10" s="4"/>
      <c r="M10" s="1"/>
      <c r="N10" s="3"/>
      <c r="O10" s="1"/>
      <c r="P10" s="3"/>
      <c r="Q10" s="1"/>
      <c r="R10" s="1"/>
      <c r="S10" s="1"/>
    </row>
    <row r="11" spans="2:19" ht="15.6" x14ac:dyDescent="0.3">
      <c r="B11" s="1" t="s">
        <v>812</v>
      </c>
      <c r="C11" s="1"/>
      <c r="D11" s="1"/>
      <c r="E11" s="2"/>
      <c r="F11" s="1"/>
      <c r="G11" s="1"/>
      <c r="H11" s="1"/>
      <c r="I11" s="1"/>
      <c r="J11" s="1"/>
      <c r="K11" s="1"/>
      <c r="L11" s="4"/>
      <c r="M11" s="1"/>
      <c r="N11" s="3"/>
      <c r="O11" s="1"/>
      <c r="P11" s="1"/>
      <c r="Q11" s="1"/>
      <c r="R11" s="1"/>
      <c r="S11" s="1"/>
    </row>
    <row r="12" spans="2:19" ht="15.6" x14ac:dyDescent="0.3">
      <c r="B12" s="1" t="s">
        <v>813</v>
      </c>
      <c r="C12" s="1"/>
      <c r="D12" s="1"/>
      <c r="E12" s="2"/>
      <c r="F12" s="1"/>
      <c r="G12" s="1"/>
      <c r="H12" s="1"/>
      <c r="I12" s="1"/>
      <c r="J12" s="1"/>
      <c r="K12" s="1"/>
      <c r="L12" s="4"/>
      <c r="M12" s="1"/>
      <c r="N12" s="3"/>
      <c r="O12" s="1"/>
      <c r="P12" s="1"/>
      <c r="Q12" s="1"/>
      <c r="R12" s="1"/>
      <c r="S12" s="1"/>
    </row>
    <row r="13" spans="2:19" ht="15.6" x14ac:dyDescent="0.3">
      <c r="B13" s="1" t="s">
        <v>814</v>
      </c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3"/>
      <c r="O13" s="1"/>
      <c r="P13" s="3"/>
      <c r="Q13" s="1"/>
      <c r="R13" s="1"/>
      <c r="S13" s="1"/>
    </row>
    <row r="14" spans="2:19" ht="15.6" x14ac:dyDescent="0.3">
      <c r="B14" s="1" t="s">
        <v>815</v>
      </c>
      <c r="C14" s="1"/>
      <c r="D14" s="1"/>
      <c r="E14" s="2"/>
      <c r="F14" s="1"/>
      <c r="G14" s="1"/>
      <c r="H14" s="1"/>
      <c r="I14" s="1"/>
      <c r="J14" s="1"/>
      <c r="K14" s="1"/>
      <c r="L14" s="4"/>
      <c r="M14" s="1"/>
      <c r="N14" s="1"/>
      <c r="O14" s="1"/>
      <c r="P14" s="3"/>
      <c r="Q14" s="1"/>
      <c r="R14" s="1"/>
      <c r="S14" s="1"/>
    </row>
    <row r="15" spans="2:19" ht="15.6" x14ac:dyDescent="0.3">
      <c r="B15" s="1" t="s">
        <v>816</v>
      </c>
      <c r="C15" s="1"/>
      <c r="D15" s="1"/>
      <c r="E15" s="2"/>
      <c r="F15" s="1"/>
      <c r="G15" s="1"/>
      <c r="H15" s="1"/>
      <c r="I15" s="1"/>
      <c r="J15" s="1"/>
      <c r="K15" s="1"/>
      <c r="L15" s="4"/>
      <c r="M15" s="4"/>
      <c r="N15" s="1"/>
      <c r="O15" s="1"/>
      <c r="P15" s="3"/>
      <c r="Q15" s="4"/>
      <c r="R15" s="1"/>
      <c r="S15" s="1"/>
    </row>
    <row r="16" spans="2:19" ht="15.6" x14ac:dyDescent="0.3">
      <c r="B16" s="1" t="s">
        <v>817</v>
      </c>
      <c r="C16" s="1"/>
      <c r="D16" s="1"/>
      <c r="E16" s="2"/>
      <c r="F16" s="1"/>
      <c r="G16" s="1"/>
      <c r="H16" s="1"/>
      <c r="I16" s="4"/>
      <c r="J16" s="1"/>
      <c r="K16" s="4"/>
      <c r="L16" s="4"/>
      <c r="M16" s="1"/>
      <c r="N16" s="3"/>
      <c r="O16" s="1"/>
      <c r="P16" s="3"/>
      <c r="Q16" s="1"/>
      <c r="R16" s="1"/>
      <c r="S16" s="1"/>
    </row>
    <row r="17" spans="2:19" ht="15.6" x14ac:dyDescent="0.3">
      <c r="B17" s="1" t="s">
        <v>818</v>
      </c>
      <c r="C17" s="1"/>
      <c r="D17" s="1"/>
      <c r="E17" s="2"/>
      <c r="F17" s="1"/>
      <c r="G17" s="1"/>
      <c r="H17" s="1"/>
      <c r="I17" s="1"/>
      <c r="J17" s="1"/>
      <c r="K17" s="1"/>
      <c r="L17" s="4"/>
      <c r="M17" s="1"/>
      <c r="N17" s="3"/>
      <c r="O17" s="1"/>
      <c r="P17" s="3"/>
      <c r="Q17" s="1"/>
      <c r="R17" s="1"/>
      <c r="S17" s="1"/>
    </row>
    <row r="18" spans="2:19" ht="15.6" x14ac:dyDescent="0.3">
      <c r="B18" s="1" t="s">
        <v>819</v>
      </c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3"/>
      <c r="O18" s="1"/>
      <c r="P18" s="3"/>
      <c r="Q18" s="1"/>
      <c r="R18" s="1"/>
      <c r="S18" s="1"/>
    </row>
    <row r="19" spans="2:19" ht="15.6" x14ac:dyDescent="0.3">
      <c r="B19" s="1" t="s">
        <v>820</v>
      </c>
      <c r="C19" s="1"/>
      <c r="D19" s="1"/>
      <c r="E19" s="2"/>
      <c r="F19" s="1"/>
      <c r="G19" s="1"/>
      <c r="H19" s="1"/>
      <c r="I19" s="1"/>
      <c r="J19" s="1"/>
      <c r="K19" s="4"/>
      <c r="L19" s="4"/>
      <c r="M19" s="1"/>
      <c r="N19" s="3"/>
      <c r="O19" s="1"/>
      <c r="P19" s="3"/>
      <c r="Q19" s="4"/>
      <c r="R19" s="1"/>
      <c r="S19" s="1"/>
    </row>
    <row r="20" spans="2:19" ht="15.6" x14ac:dyDescent="0.3">
      <c r="B20" s="1" t="s">
        <v>821</v>
      </c>
      <c r="C20" s="1"/>
      <c r="D20" s="1"/>
      <c r="E20" s="2"/>
      <c r="F20" s="1"/>
      <c r="G20" s="1"/>
      <c r="H20" s="1"/>
      <c r="I20" s="1"/>
      <c r="J20" s="1"/>
      <c r="K20" s="1"/>
      <c r="L20" s="4"/>
      <c r="M20" s="1"/>
      <c r="N20" s="3"/>
      <c r="O20" s="1"/>
      <c r="P20" s="3"/>
      <c r="Q20" s="4"/>
      <c r="R20" s="1"/>
      <c r="S20" s="1"/>
    </row>
    <row r="21" spans="2:19" ht="15.6" x14ac:dyDescent="0.3">
      <c r="B21" s="1" t="s">
        <v>822</v>
      </c>
      <c r="C21" s="1"/>
      <c r="D21" s="1"/>
      <c r="E21" s="2"/>
      <c r="F21" s="1"/>
      <c r="G21" s="1"/>
      <c r="H21" s="1"/>
      <c r="I21" s="1"/>
      <c r="J21" s="1"/>
      <c r="K21" s="1"/>
      <c r="L21" s="4"/>
      <c r="M21" s="1"/>
      <c r="N21" s="3"/>
      <c r="O21" s="1"/>
      <c r="P21" s="3"/>
      <c r="Q21" s="1"/>
      <c r="R21" s="1"/>
      <c r="S21" s="1"/>
    </row>
    <row r="22" spans="2:19" ht="15.6" x14ac:dyDescent="0.3">
      <c r="B22" s="1" t="s">
        <v>823</v>
      </c>
      <c r="C22" s="1"/>
      <c r="D22" s="1"/>
      <c r="E22" s="2"/>
      <c r="F22" s="1"/>
      <c r="G22" s="1"/>
      <c r="H22" s="1"/>
      <c r="I22" s="1"/>
      <c r="J22" s="1"/>
      <c r="K22" s="1"/>
      <c r="L22" s="4"/>
      <c r="M22" s="1"/>
      <c r="N22" s="3"/>
      <c r="O22" s="1"/>
      <c r="P22" s="3"/>
      <c r="Q22" s="1"/>
      <c r="R22" s="1"/>
      <c r="S22" s="1"/>
    </row>
    <row r="23" spans="2:19" ht="15.6" x14ac:dyDescent="0.3">
      <c r="B23" s="1" t="s">
        <v>824</v>
      </c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3"/>
      <c r="O23" s="1"/>
      <c r="P23" s="3"/>
      <c r="Q23" s="1"/>
      <c r="R23" s="1"/>
      <c r="S23" s="1"/>
    </row>
    <row r="24" spans="2:19" ht="15.6" x14ac:dyDescent="0.3">
      <c r="B24" s="1" t="s">
        <v>825</v>
      </c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3"/>
      <c r="O24" s="1"/>
      <c r="P24" s="6"/>
      <c r="Q24" s="1"/>
      <c r="R24" s="1"/>
      <c r="S24" s="1"/>
    </row>
    <row r="25" spans="2:19" ht="15.6" x14ac:dyDescent="0.3">
      <c r="B25" s="1" t="s">
        <v>826</v>
      </c>
      <c r="C25" s="1"/>
      <c r="D25" s="1"/>
      <c r="E25" s="2"/>
      <c r="F25" s="1"/>
      <c r="G25" s="1"/>
      <c r="H25" s="1"/>
      <c r="I25" s="1"/>
      <c r="J25" s="1"/>
      <c r="K25" s="1"/>
      <c r="L25" s="4"/>
      <c r="M25" s="1"/>
      <c r="N25" s="3"/>
      <c r="O25" s="1"/>
      <c r="P25" s="3"/>
      <c r="Q25" s="1"/>
      <c r="R25" s="1"/>
      <c r="S25" s="1"/>
    </row>
    <row r="26" spans="2:19" ht="15.6" x14ac:dyDescent="0.3">
      <c r="B26" s="1" t="s">
        <v>827</v>
      </c>
      <c r="C26" s="1"/>
      <c r="D26" s="1"/>
      <c r="E26" s="2"/>
      <c r="F26" s="1"/>
      <c r="G26" s="1"/>
      <c r="H26" s="1"/>
      <c r="I26" s="1"/>
      <c r="J26" s="1"/>
      <c r="K26" s="1"/>
      <c r="L26" s="4"/>
      <c r="M26" s="1"/>
      <c r="N26" s="3"/>
      <c r="O26" s="1"/>
      <c r="P26" s="3"/>
      <c r="Q26" s="1"/>
      <c r="R26" s="1"/>
      <c r="S26" s="1"/>
    </row>
    <row r="27" spans="2:19" ht="15.6" x14ac:dyDescent="0.3">
      <c r="B27" s="1" t="s">
        <v>828</v>
      </c>
      <c r="C27" s="1"/>
      <c r="D27" s="1"/>
      <c r="E27" s="2"/>
      <c r="F27" s="1"/>
      <c r="G27" s="1"/>
      <c r="H27" s="1"/>
      <c r="I27" s="1"/>
      <c r="J27" s="1"/>
      <c r="K27" s="1"/>
      <c r="L27" s="4"/>
      <c r="M27" s="1"/>
      <c r="N27" s="3"/>
      <c r="O27" s="1"/>
      <c r="P27" s="3"/>
      <c r="Q27" s="1"/>
      <c r="R27" s="1"/>
      <c r="S27" s="1"/>
    </row>
    <row r="28" spans="2:19" ht="15.6" x14ac:dyDescent="0.3">
      <c r="B28" s="1" t="s">
        <v>829</v>
      </c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3"/>
      <c r="O28" s="1"/>
      <c r="P28" s="3"/>
      <c r="Q28" s="1"/>
      <c r="R28" s="1"/>
      <c r="S28" s="1"/>
    </row>
    <row r="29" spans="2:19" ht="15.6" x14ac:dyDescent="0.3">
      <c r="B29" s="1" t="s">
        <v>830</v>
      </c>
      <c r="C29" s="1"/>
      <c r="D29" s="1"/>
      <c r="E29" s="2"/>
      <c r="F29" s="1"/>
      <c r="G29" s="1"/>
      <c r="H29" s="1"/>
      <c r="I29" s="1"/>
      <c r="J29" s="1"/>
      <c r="K29" s="1"/>
      <c r="L29" s="4"/>
      <c r="M29" s="1"/>
      <c r="N29" s="3"/>
      <c r="O29" s="1"/>
      <c r="P29" s="3"/>
      <c r="Q29" s="1"/>
      <c r="R29" s="1"/>
      <c r="S29" s="1"/>
    </row>
    <row r="30" spans="2:19" ht="15.6" x14ac:dyDescent="0.3">
      <c r="B30" s="1" t="s">
        <v>831</v>
      </c>
      <c r="C30" s="1"/>
      <c r="D30" s="1"/>
      <c r="E30" s="2"/>
      <c r="F30" s="1"/>
      <c r="G30" s="1"/>
      <c r="H30" s="1"/>
      <c r="I30" s="1"/>
      <c r="J30" s="1"/>
      <c r="K30" s="1"/>
      <c r="L30" s="4"/>
      <c r="M30" s="1"/>
      <c r="N30" s="3"/>
      <c r="O30" s="1"/>
      <c r="P30" s="3"/>
      <c r="Q30" s="4"/>
      <c r="R30" s="1"/>
      <c r="S30" s="1"/>
    </row>
    <row r="31" spans="2:19" ht="15.6" x14ac:dyDescent="0.3">
      <c r="B31" s="1" t="s">
        <v>832</v>
      </c>
      <c r="C31" s="1"/>
      <c r="D31" s="1"/>
      <c r="E31" s="2"/>
      <c r="F31" s="1"/>
      <c r="G31" s="1"/>
      <c r="H31" s="1"/>
      <c r="I31" s="1"/>
      <c r="J31" s="1"/>
      <c r="K31" s="1"/>
      <c r="L31" s="4"/>
      <c r="M31" s="1"/>
      <c r="N31" s="3"/>
      <c r="O31" s="1"/>
      <c r="P31" s="3"/>
      <c r="Q31" s="1"/>
      <c r="R31" s="1"/>
      <c r="S31" s="1"/>
    </row>
    <row r="32" spans="2:19" ht="15.6" x14ac:dyDescent="0.3">
      <c r="B32" s="1" t="s">
        <v>833</v>
      </c>
      <c r="C32" s="1"/>
      <c r="D32" s="1"/>
      <c r="E32" s="2"/>
      <c r="F32" s="1"/>
      <c r="G32" s="1"/>
      <c r="H32" s="1"/>
      <c r="I32" s="1"/>
      <c r="J32" s="1"/>
      <c r="K32" s="1"/>
      <c r="L32" s="1"/>
      <c r="M32" s="4"/>
      <c r="N32" s="3"/>
      <c r="O32" s="4"/>
      <c r="P32" s="3"/>
      <c r="Q32" s="1"/>
      <c r="R32" s="1"/>
      <c r="S32" s="1"/>
    </row>
    <row r="33" spans="2:19" ht="15.6" x14ac:dyDescent="0.3">
      <c r="B33" s="1" t="s">
        <v>834</v>
      </c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3"/>
      <c r="O33" s="1"/>
      <c r="P33" s="3"/>
      <c r="Q33" s="1"/>
      <c r="R33" s="1"/>
      <c r="S33" s="1"/>
    </row>
    <row r="34" spans="2:19" ht="15.6" x14ac:dyDescent="0.3">
      <c r="B34" s="1" t="s">
        <v>835</v>
      </c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3"/>
      <c r="O34" s="1"/>
      <c r="P34" s="3"/>
      <c r="Q34" s="1"/>
      <c r="R34" s="1"/>
      <c r="S34" s="1"/>
    </row>
    <row r="35" spans="2:19" ht="15.6" x14ac:dyDescent="0.3">
      <c r="B35" s="1" t="s">
        <v>836</v>
      </c>
      <c r="C35" s="1"/>
      <c r="D35" s="1"/>
      <c r="E35" s="2"/>
      <c r="F35" s="1"/>
      <c r="G35" s="1"/>
      <c r="H35" s="1"/>
      <c r="I35" s="1"/>
      <c r="J35" s="1"/>
      <c r="K35" s="1"/>
      <c r="L35" s="4"/>
      <c r="M35" s="1"/>
      <c r="N35" s="3"/>
      <c r="O35" s="1"/>
      <c r="P35" s="3"/>
      <c r="Q35" s="1"/>
      <c r="R35" s="1"/>
      <c r="S35" s="1"/>
    </row>
    <row r="36" spans="2:19" ht="15.6" x14ac:dyDescent="0.3">
      <c r="B36" s="1" t="s">
        <v>837</v>
      </c>
      <c r="C36" s="1"/>
      <c r="D36" s="1"/>
      <c r="E36" s="2"/>
      <c r="F36" s="1"/>
      <c r="G36" s="1"/>
      <c r="H36" s="1"/>
      <c r="I36" s="1"/>
      <c r="J36" s="1"/>
      <c r="K36" s="1"/>
      <c r="L36" s="4"/>
      <c r="M36" s="1"/>
      <c r="N36" s="3"/>
      <c r="O36" s="1"/>
      <c r="P36" s="3"/>
      <c r="Q36" s="1"/>
      <c r="R36" s="1"/>
      <c r="S36" s="1"/>
    </row>
    <row r="37" spans="2:19" ht="15.6" x14ac:dyDescent="0.3">
      <c r="B37" s="1" t="s">
        <v>838</v>
      </c>
      <c r="C37" s="1"/>
      <c r="D37" s="1"/>
      <c r="E37" s="2"/>
      <c r="F37" s="1"/>
      <c r="G37" s="1"/>
      <c r="H37" s="1"/>
      <c r="I37" s="4"/>
      <c r="J37" s="1"/>
      <c r="K37" s="1"/>
      <c r="L37" s="5"/>
      <c r="M37" s="1"/>
      <c r="N37" s="3"/>
      <c r="O37" s="1"/>
      <c r="P37" s="3"/>
      <c r="Q37" s="1"/>
      <c r="R37" s="1"/>
      <c r="S37" s="1"/>
    </row>
    <row r="38" spans="2:19" ht="15.6" x14ac:dyDescent="0.3">
      <c r="B38" s="1" t="s">
        <v>839</v>
      </c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3"/>
      <c r="O38" s="1"/>
      <c r="P38" s="3"/>
      <c r="Q38" s="1"/>
      <c r="R38" s="1"/>
      <c r="S38" s="1"/>
    </row>
    <row r="39" spans="2:19" ht="15.6" x14ac:dyDescent="0.3">
      <c r="B39" s="1" t="s">
        <v>840</v>
      </c>
      <c r="C39" s="1"/>
      <c r="D39" s="1"/>
      <c r="E39" s="2"/>
      <c r="F39" s="1"/>
      <c r="G39" s="1"/>
      <c r="H39" s="1"/>
      <c r="I39" s="1"/>
      <c r="J39" s="1"/>
      <c r="K39" s="1"/>
      <c r="L39" s="4"/>
      <c r="M39" s="1"/>
      <c r="N39" s="3"/>
      <c r="O39" s="1"/>
      <c r="P39" s="3"/>
      <c r="Q39" s="1"/>
      <c r="R39" s="1"/>
      <c r="S39" s="1"/>
    </row>
    <row r="40" spans="2:19" ht="15.6" x14ac:dyDescent="0.3">
      <c r="B40" s="1" t="s">
        <v>841</v>
      </c>
      <c r="C40" s="1"/>
      <c r="D40" s="1"/>
      <c r="E40" s="2"/>
      <c r="F40" s="1"/>
      <c r="G40" s="1"/>
      <c r="H40" s="1"/>
      <c r="I40" s="1"/>
      <c r="J40" s="4"/>
      <c r="K40" s="1"/>
      <c r="L40" s="4"/>
      <c r="M40" s="1"/>
      <c r="N40" s="3"/>
      <c r="O40" s="1"/>
      <c r="P40" s="3"/>
      <c r="Q40" s="4"/>
      <c r="R40" s="1"/>
      <c r="S40" s="1"/>
    </row>
    <row r="41" spans="2:19" ht="15.6" x14ac:dyDescent="0.3">
      <c r="B41" s="1" t="s">
        <v>842</v>
      </c>
      <c r="C41" s="1"/>
      <c r="D41" s="1"/>
      <c r="E41" s="2"/>
      <c r="F41" s="1"/>
      <c r="G41" s="1"/>
      <c r="H41" s="1"/>
      <c r="I41" s="1"/>
      <c r="J41" s="1"/>
      <c r="K41" s="1"/>
      <c r="L41" s="4"/>
      <c r="M41" s="1"/>
      <c r="N41" s="3"/>
      <c r="O41" s="1"/>
      <c r="P41" s="3"/>
      <c r="Q41" s="1"/>
      <c r="R41" s="1"/>
      <c r="S41" s="1"/>
    </row>
    <row r="42" spans="2:19" ht="15.6" x14ac:dyDescent="0.3">
      <c r="B42" s="1" t="s">
        <v>843</v>
      </c>
      <c r="C42" s="1"/>
      <c r="D42" s="1"/>
      <c r="E42" s="2"/>
      <c r="F42" s="1"/>
      <c r="G42" s="1"/>
      <c r="H42" s="1"/>
      <c r="I42" s="1"/>
      <c r="J42" s="1"/>
      <c r="K42" s="1"/>
      <c r="L42" s="4"/>
      <c r="M42" s="1"/>
      <c r="N42" s="3"/>
      <c r="O42" s="1"/>
      <c r="P42" s="1"/>
      <c r="Q42" s="1"/>
      <c r="R42" s="1"/>
      <c r="S42" s="1"/>
    </row>
    <row r="43" spans="2:19" ht="15.6" x14ac:dyDescent="0.3">
      <c r="B43" s="1" t="s">
        <v>844</v>
      </c>
      <c r="C43" s="1"/>
      <c r="D43" s="1"/>
      <c r="E43" s="2"/>
      <c r="F43" s="1"/>
      <c r="G43" s="1"/>
      <c r="H43" s="1"/>
      <c r="I43" s="1"/>
      <c r="J43" s="1"/>
      <c r="K43" s="1"/>
      <c r="L43" s="4"/>
      <c r="M43" s="1"/>
      <c r="N43" s="3"/>
      <c r="O43" s="1"/>
      <c r="P43" s="1"/>
      <c r="Q43" s="1"/>
      <c r="R43" s="1"/>
      <c r="S43" s="1"/>
    </row>
    <row r="44" spans="2:19" ht="15.6" x14ac:dyDescent="0.3">
      <c r="B44" s="1" t="s">
        <v>845</v>
      </c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3"/>
      <c r="O44" s="1"/>
      <c r="P44" s="3"/>
      <c r="Q44" s="1"/>
      <c r="R44" s="1"/>
      <c r="S44" s="1"/>
    </row>
    <row r="45" spans="2:19" ht="15.6" x14ac:dyDescent="0.3">
      <c r="B45" s="1" t="s">
        <v>846</v>
      </c>
      <c r="C45" s="1"/>
      <c r="D45" s="1"/>
      <c r="E45" s="2"/>
      <c r="F45" s="1"/>
      <c r="G45" s="1"/>
      <c r="H45" s="1"/>
      <c r="I45" s="1"/>
      <c r="J45" s="1"/>
      <c r="K45" s="1"/>
      <c r="L45" s="4"/>
      <c r="M45" s="1"/>
      <c r="N45" s="1"/>
      <c r="O45" s="1"/>
      <c r="P45" s="3"/>
      <c r="Q45" s="1"/>
      <c r="R45" s="1"/>
      <c r="S45" s="1"/>
    </row>
    <row r="46" spans="2:19" ht="15.6" x14ac:dyDescent="0.3">
      <c r="B46" s="1" t="s">
        <v>847</v>
      </c>
      <c r="C46" s="1"/>
      <c r="D46" s="1"/>
      <c r="E46" s="2"/>
      <c r="F46" s="1"/>
      <c r="G46" s="1"/>
      <c r="H46" s="1"/>
      <c r="I46" s="1"/>
      <c r="J46" s="1"/>
      <c r="K46" s="1"/>
      <c r="L46" s="4"/>
      <c r="M46" s="4"/>
      <c r="N46" s="1"/>
      <c r="O46" s="1"/>
      <c r="P46" s="3"/>
      <c r="Q46" s="4"/>
      <c r="R46" s="1"/>
      <c r="S46" s="1"/>
    </row>
    <row r="47" spans="2:19" ht="15.6" x14ac:dyDescent="0.3">
      <c r="B47" s="1" t="s">
        <v>848</v>
      </c>
      <c r="C47" s="1"/>
      <c r="D47" s="1"/>
      <c r="E47" s="2"/>
      <c r="F47" s="1"/>
      <c r="G47" s="1"/>
      <c r="H47" s="1"/>
      <c r="I47" s="4"/>
      <c r="J47" s="1"/>
      <c r="K47" s="4"/>
      <c r="L47" s="4"/>
      <c r="M47" s="1"/>
      <c r="N47" s="3"/>
      <c r="O47" s="1"/>
      <c r="P47" s="3"/>
      <c r="Q47" s="1"/>
      <c r="R47" s="1"/>
      <c r="S47" s="1"/>
    </row>
    <row r="48" spans="2:19" ht="15.6" x14ac:dyDescent="0.3">
      <c r="B48" s="1" t="s">
        <v>849</v>
      </c>
      <c r="C48" s="1"/>
      <c r="D48" s="1"/>
      <c r="E48" s="2"/>
      <c r="F48" s="1"/>
      <c r="G48" s="1"/>
      <c r="H48" s="1"/>
      <c r="I48" s="1"/>
      <c r="J48" s="1"/>
      <c r="K48" s="1"/>
      <c r="L48" s="4"/>
      <c r="M48" s="1"/>
      <c r="N48" s="3"/>
      <c r="O48" s="1"/>
      <c r="P48" s="3"/>
      <c r="Q48" s="1"/>
      <c r="R48" s="1"/>
      <c r="S48" s="1"/>
    </row>
    <row r="49" spans="2:19" ht="15.6" x14ac:dyDescent="0.3">
      <c r="B49" s="1" t="s">
        <v>850</v>
      </c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3"/>
      <c r="O49" s="1"/>
      <c r="P49" s="3"/>
      <c r="Q49" s="1"/>
      <c r="R49" s="1"/>
      <c r="S49" s="1"/>
    </row>
    <row r="50" spans="2:19" ht="15.6" x14ac:dyDescent="0.3">
      <c r="B50" s="1" t="s">
        <v>851</v>
      </c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3"/>
      <c r="O50" s="1"/>
      <c r="P50" s="3"/>
      <c r="Q50" s="1"/>
      <c r="R50" s="1"/>
      <c r="S50" s="1"/>
    </row>
    <row r="51" spans="2:19" ht="15.6" x14ac:dyDescent="0.3">
      <c r="B51" s="1" t="s">
        <v>852</v>
      </c>
      <c r="C51" s="1"/>
      <c r="D51" s="1"/>
      <c r="E51" s="2"/>
      <c r="F51" s="1"/>
      <c r="G51" s="1"/>
      <c r="H51" s="1"/>
      <c r="I51" s="1"/>
      <c r="J51" s="1"/>
      <c r="K51" s="1"/>
      <c r="L51" s="4"/>
      <c r="M51" s="1"/>
      <c r="N51" s="3"/>
      <c r="O51" s="1"/>
      <c r="P51" s="3"/>
      <c r="Q51" s="1"/>
      <c r="R51" s="1"/>
      <c r="S51" s="1"/>
    </row>
    <row r="52" spans="2:19" ht="15.6" x14ac:dyDescent="0.3">
      <c r="B52" s="1" t="s">
        <v>853</v>
      </c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3"/>
      <c r="O52" s="1"/>
      <c r="P52" s="3"/>
      <c r="Q52" s="1"/>
      <c r="R52" s="1"/>
      <c r="S52" s="1"/>
    </row>
    <row r="53" spans="2:19" ht="15.6" x14ac:dyDescent="0.3">
      <c r="B53" s="1" t="s">
        <v>854</v>
      </c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3"/>
      <c r="O53" s="1"/>
      <c r="P53" s="3"/>
      <c r="Q53" s="1"/>
      <c r="R53" s="1"/>
      <c r="S53" s="1"/>
    </row>
    <row r="54" spans="2:19" ht="15.6" x14ac:dyDescent="0.3">
      <c r="B54" s="1" t="s">
        <v>855</v>
      </c>
      <c r="C54" s="1"/>
      <c r="D54" s="1"/>
      <c r="E54" s="2"/>
      <c r="F54" s="1"/>
      <c r="G54" s="1"/>
      <c r="H54" s="1"/>
      <c r="I54" s="1"/>
      <c r="J54" s="1"/>
      <c r="K54" s="1"/>
      <c r="L54" s="4"/>
      <c r="M54" s="1"/>
      <c r="N54" s="3"/>
      <c r="O54" s="1"/>
      <c r="P54" s="3"/>
      <c r="Q54" s="4"/>
      <c r="R54" s="1"/>
      <c r="S54" s="1"/>
    </row>
    <row r="55" spans="2:19" ht="15.6" x14ac:dyDescent="0.3">
      <c r="B55" s="1" t="s">
        <v>856</v>
      </c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3"/>
      <c r="O55" s="1"/>
      <c r="P55" s="3"/>
      <c r="Q55" s="1"/>
      <c r="R55" s="1"/>
      <c r="S55" s="1"/>
    </row>
    <row r="56" spans="2:19" ht="15.6" x14ac:dyDescent="0.3">
      <c r="B56" s="1" t="s">
        <v>857</v>
      </c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3"/>
      <c r="O56" s="1"/>
      <c r="P56" s="3"/>
      <c r="Q56" s="1"/>
      <c r="R56" s="1"/>
      <c r="S56" s="1"/>
    </row>
    <row r="57" spans="2:19" ht="15.6" x14ac:dyDescent="0.3">
      <c r="B57" s="1" t="s">
        <v>858</v>
      </c>
      <c r="C57" s="1"/>
      <c r="D57" s="1"/>
      <c r="E57" s="2"/>
      <c r="F57" s="1"/>
      <c r="G57" s="1"/>
      <c r="H57" s="1"/>
      <c r="I57" s="1"/>
      <c r="J57" s="1"/>
      <c r="K57" s="1"/>
      <c r="L57" s="1"/>
      <c r="M57" s="4"/>
      <c r="N57" s="3"/>
      <c r="O57" s="1"/>
      <c r="P57" s="3"/>
      <c r="Q57" s="1"/>
      <c r="R57" s="1"/>
      <c r="S57" s="1"/>
    </row>
    <row r="58" spans="2:19" ht="15.6" x14ac:dyDescent="0.3">
      <c r="B58" s="1" t="s">
        <v>859</v>
      </c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3"/>
      <c r="O58" s="1"/>
      <c r="P58" s="3"/>
      <c r="Q58" s="1"/>
      <c r="R58" s="1"/>
      <c r="S58" s="1"/>
    </row>
    <row r="59" spans="2:19" ht="15.6" x14ac:dyDescent="0.3">
      <c r="B59" s="1" t="s">
        <v>860</v>
      </c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3"/>
      <c r="O59" s="1"/>
      <c r="P59" s="3"/>
      <c r="Q59" s="1"/>
      <c r="R59" s="1"/>
      <c r="S59" s="1"/>
    </row>
    <row r="60" spans="2:19" ht="15.6" x14ac:dyDescent="0.3">
      <c r="B60" s="1" t="s">
        <v>861</v>
      </c>
      <c r="C60" s="1"/>
      <c r="D60" s="1"/>
      <c r="E60" s="2"/>
      <c r="F60" s="1"/>
      <c r="G60" s="1"/>
      <c r="H60" s="1"/>
      <c r="I60" s="1"/>
      <c r="J60" s="4"/>
      <c r="K60" s="1"/>
      <c r="L60" s="4"/>
      <c r="M60" s="1"/>
      <c r="N60" s="3"/>
      <c r="O60" s="1"/>
      <c r="P60" s="3"/>
      <c r="Q60" s="1"/>
      <c r="R60" s="1"/>
      <c r="S60" s="1"/>
    </row>
    <row r="61" spans="2:19" ht="15.6" x14ac:dyDescent="0.3">
      <c r="B61" s="1" t="s">
        <v>862</v>
      </c>
      <c r="C61" s="1"/>
      <c r="D61" s="1"/>
      <c r="E61" s="2"/>
      <c r="F61" s="1"/>
      <c r="G61" s="1"/>
      <c r="H61" s="1"/>
      <c r="I61" s="1"/>
      <c r="J61" s="1"/>
      <c r="K61" s="1"/>
      <c r="L61" s="4"/>
      <c r="M61" s="1"/>
      <c r="N61" s="3"/>
      <c r="O61" s="1"/>
      <c r="P61" s="3"/>
      <c r="Q61" s="1"/>
      <c r="R61" s="1"/>
      <c r="S61" s="1"/>
    </row>
    <row r="62" spans="2:19" ht="15.6" x14ac:dyDescent="0.3">
      <c r="B62" s="1" t="s">
        <v>863</v>
      </c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3"/>
      <c r="O62" s="1"/>
      <c r="P62" s="1"/>
      <c r="Q62" s="1"/>
      <c r="R62" s="1"/>
      <c r="S62" s="1"/>
    </row>
    <row r="63" spans="2:19" ht="15.6" x14ac:dyDescent="0.3">
      <c r="B63" s="1" t="s">
        <v>864</v>
      </c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3"/>
      <c r="O63" s="1"/>
      <c r="P63" s="6"/>
      <c r="Q63" s="4"/>
      <c r="R63" s="1"/>
      <c r="S63" s="1"/>
    </row>
    <row r="64" spans="2:19" ht="15.6" x14ac:dyDescent="0.3">
      <c r="B64" s="1" t="s">
        <v>865</v>
      </c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3"/>
      <c r="O64" s="1"/>
      <c r="P64" s="3"/>
      <c r="Q64" s="1"/>
      <c r="R64" s="1"/>
      <c r="S64" s="1"/>
    </row>
    <row r="65" spans="2:19" ht="15.6" x14ac:dyDescent="0.3">
      <c r="B65" s="1" t="s">
        <v>866</v>
      </c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3"/>
      <c r="O65" s="1"/>
      <c r="P65" s="3"/>
      <c r="Q65" s="1"/>
      <c r="R65" s="1"/>
      <c r="S65" s="1"/>
    </row>
    <row r="66" spans="2:19" ht="15.6" x14ac:dyDescent="0.3">
      <c r="B66" s="1" t="s">
        <v>867</v>
      </c>
      <c r="C66" s="1"/>
      <c r="D66" s="1"/>
      <c r="E66" s="2"/>
      <c r="F66" s="1"/>
      <c r="G66" s="1"/>
      <c r="H66" s="1"/>
      <c r="I66" s="4"/>
      <c r="J66" s="1"/>
      <c r="K66" s="1"/>
      <c r="L66" s="1"/>
      <c r="M66" s="1"/>
      <c r="N66" s="3"/>
      <c r="O66" s="1"/>
      <c r="P66" s="3"/>
      <c r="Q66" s="1"/>
      <c r="R66" s="1"/>
      <c r="S66" s="1"/>
    </row>
    <row r="67" spans="2:19" ht="15.6" x14ac:dyDescent="0.3">
      <c r="B67" s="1" t="s">
        <v>868</v>
      </c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3"/>
      <c r="O67" s="1"/>
      <c r="P67" s="3"/>
      <c r="Q67" s="1"/>
      <c r="R67" s="1"/>
      <c r="S67" s="1"/>
    </row>
    <row r="68" spans="2:19" ht="15.6" x14ac:dyDescent="0.3">
      <c r="B68" s="1" t="s">
        <v>869</v>
      </c>
      <c r="C68" s="1"/>
      <c r="D68" s="1"/>
      <c r="E68" s="2"/>
      <c r="F68" s="1"/>
      <c r="G68" s="1"/>
      <c r="H68" s="1"/>
      <c r="I68" s="4"/>
      <c r="J68" s="4"/>
      <c r="K68" s="1"/>
      <c r="L68" s="1"/>
      <c r="M68" s="1"/>
      <c r="N68" s="3"/>
      <c r="O68" s="1"/>
      <c r="P68" s="3"/>
      <c r="Q68" s="1"/>
      <c r="R68" s="1"/>
      <c r="S68" s="1"/>
    </row>
    <row r="69" spans="2:19" ht="15.6" x14ac:dyDescent="0.3">
      <c r="B69" s="1" t="s">
        <v>870</v>
      </c>
      <c r="C69" s="1"/>
      <c r="D69" s="1"/>
      <c r="E69" s="2"/>
      <c r="F69" s="1"/>
      <c r="G69" s="1"/>
      <c r="H69" s="1"/>
      <c r="I69" s="1"/>
      <c r="J69" s="1"/>
      <c r="K69" s="1"/>
      <c r="L69" s="4"/>
      <c r="M69" s="1"/>
      <c r="N69" s="1"/>
      <c r="O69" s="1"/>
      <c r="P69" s="3"/>
      <c r="Q69" s="1"/>
      <c r="R69" s="1"/>
      <c r="S69" s="1"/>
    </row>
    <row r="70" spans="2:19" ht="15.6" x14ac:dyDescent="0.3">
      <c r="B70" s="1" t="s">
        <v>871</v>
      </c>
      <c r="C70" s="1"/>
      <c r="D70" s="1"/>
      <c r="E70" s="2"/>
      <c r="F70" s="1"/>
      <c r="G70" s="1"/>
      <c r="H70" s="1"/>
      <c r="I70" s="1"/>
      <c r="J70" s="1"/>
      <c r="K70" s="1"/>
      <c r="L70" s="4"/>
      <c r="M70" s="1"/>
      <c r="N70" s="3"/>
      <c r="O70" s="1"/>
      <c r="P70" s="3"/>
      <c r="Q70" s="1"/>
      <c r="R70" s="1"/>
      <c r="S70" s="1"/>
    </row>
    <row r="71" spans="2:19" ht="15.6" x14ac:dyDescent="0.3">
      <c r="B71" s="1" t="s">
        <v>872</v>
      </c>
      <c r="C71" s="1"/>
      <c r="D71" s="1"/>
      <c r="E71" s="2"/>
      <c r="F71" s="1"/>
      <c r="G71" s="1"/>
      <c r="H71" s="1"/>
      <c r="I71" s="1"/>
      <c r="J71" s="1"/>
      <c r="K71" s="1"/>
      <c r="L71" s="4"/>
      <c r="M71" s="1"/>
      <c r="N71" s="3"/>
      <c r="O71" s="1"/>
      <c r="P71" s="3"/>
      <c r="Q71" s="1"/>
      <c r="R71" s="1"/>
      <c r="S71" s="1"/>
    </row>
    <row r="72" spans="2:19" ht="15.6" x14ac:dyDescent="0.3">
      <c r="B72" s="1" t="s">
        <v>873</v>
      </c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3"/>
      <c r="O72" s="1"/>
      <c r="P72" s="3"/>
      <c r="Q72" s="1"/>
      <c r="R72" s="1"/>
      <c r="S72" s="1"/>
    </row>
    <row r="73" spans="2:19" ht="15.6" x14ac:dyDescent="0.3">
      <c r="B73" s="1" t="s">
        <v>874</v>
      </c>
      <c r="C73" s="1"/>
      <c r="D73" s="1"/>
      <c r="E73" s="2"/>
      <c r="F73" s="1"/>
      <c r="G73" s="1"/>
      <c r="H73" s="1"/>
      <c r="I73" s="1"/>
      <c r="J73" s="1"/>
      <c r="K73" s="1"/>
      <c r="L73" s="4"/>
      <c r="M73" s="1"/>
      <c r="N73" s="3"/>
      <c r="O73" s="1"/>
      <c r="P73" s="3"/>
      <c r="Q73" s="1"/>
      <c r="R73" s="1"/>
      <c r="S73" s="1"/>
    </row>
    <row r="74" spans="2:19" ht="15.6" x14ac:dyDescent="0.3">
      <c r="B74" s="1" t="s">
        <v>875</v>
      </c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3"/>
      <c r="O74" s="1"/>
      <c r="P74" s="3"/>
      <c r="Q74" s="1"/>
      <c r="R74" s="1"/>
      <c r="S74" s="1"/>
    </row>
    <row r="75" spans="2:19" ht="15.6" x14ac:dyDescent="0.3">
      <c r="B75" s="1" t="s">
        <v>876</v>
      </c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3"/>
      <c r="O75" s="1"/>
      <c r="P75" s="3"/>
      <c r="Q75" s="1"/>
      <c r="R75" s="1"/>
      <c r="S75" s="1"/>
    </row>
    <row r="76" spans="2:19" ht="15.6" x14ac:dyDescent="0.3">
      <c r="B76" s="1" t="s">
        <v>877</v>
      </c>
      <c r="C76" s="1"/>
      <c r="D76" s="1"/>
      <c r="E76" s="2"/>
      <c r="F76" s="1"/>
      <c r="G76" s="1"/>
      <c r="H76" s="1"/>
      <c r="I76" s="1"/>
      <c r="J76" s="1"/>
      <c r="K76" s="1"/>
      <c r="L76" s="4"/>
      <c r="M76" s="1"/>
      <c r="N76" s="3"/>
      <c r="O76" s="1"/>
      <c r="P76" s="3"/>
      <c r="Q76" s="4"/>
      <c r="R76" s="1"/>
      <c r="S76" s="1"/>
    </row>
    <row r="77" spans="2:19" ht="15.6" x14ac:dyDescent="0.3">
      <c r="B77" s="1" t="s">
        <v>878</v>
      </c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3"/>
      <c r="O77" s="1"/>
      <c r="P77" s="3"/>
      <c r="Q77" s="1"/>
      <c r="R77" s="1"/>
      <c r="S77" s="1"/>
    </row>
    <row r="78" spans="2:19" ht="15.6" x14ac:dyDescent="0.3">
      <c r="B78" s="1" t="s">
        <v>879</v>
      </c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3"/>
      <c r="O78" s="1"/>
      <c r="P78" s="3"/>
      <c r="Q78" s="1"/>
      <c r="R78" s="1"/>
      <c r="S78" s="1"/>
    </row>
    <row r="79" spans="2:19" ht="15.6" x14ac:dyDescent="0.3">
      <c r="B79" s="1" t="s">
        <v>880</v>
      </c>
      <c r="C79" s="1"/>
      <c r="D79" s="1"/>
      <c r="E79" s="2"/>
      <c r="F79" s="1"/>
      <c r="G79" s="1"/>
      <c r="H79" s="1"/>
      <c r="I79" s="1"/>
      <c r="J79" s="1"/>
      <c r="K79" s="1"/>
      <c r="L79" s="1"/>
      <c r="M79" s="4"/>
      <c r="N79" s="3"/>
      <c r="O79" s="1"/>
      <c r="P79" s="3"/>
      <c r="Q79" s="1"/>
      <c r="R79" s="1"/>
      <c r="S79" s="1"/>
    </row>
    <row r="80" spans="2:19" ht="15.6" x14ac:dyDescent="0.3">
      <c r="B80" s="1" t="s">
        <v>881</v>
      </c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3"/>
      <c r="O80" s="1"/>
      <c r="P80" s="3"/>
      <c r="Q80" s="1"/>
      <c r="R80" s="1"/>
      <c r="S80" s="1"/>
    </row>
    <row r="81" spans="2:19" ht="15.6" x14ac:dyDescent="0.3">
      <c r="B81" s="1" t="s">
        <v>882</v>
      </c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3"/>
      <c r="O81" s="1"/>
      <c r="P81" s="3"/>
      <c r="Q81" s="1"/>
      <c r="R81" s="1"/>
      <c r="S81" s="1"/>
    </row>
    <row r="82" spans="2:19" ht="15.6" x14ac:dyDescent="0.3">
      <c r="B82" s="1" t="s">
        <v>883</v>
      </c>
      <c r="C82" s="1"/>
      <c r="D82" s="1"/>
      <c r="E82" s="2"/>
      <c r="F82" s="1"/>
      <c r="G82" s="1"/>
      <c r="H82" s="1"/>
      <c r="I82" s="1"/>
      <c r="J82" s="4"/>
      <c r="K82" s="1"/>
      <c r="L82" s="4"/>
      <c r="M82" s="1"/>
      <c r="N82" s="3"/>
      <c r="O82" s="1"/>
      <c r="P82" s="3"/>
      <c r="Q82" s="1"/>
      <c r="R82" s="1"/>
      <c r="S82" s="1"/>
    </row>
    <row r="83" spans="2:19" ht="15.6" x14ac:dyDescent="0.3">
      <c r="B83" s="1" t="s">
        <v>884</v>
      </c>
      <c r="C83" s="1"/>
      <c r="D83" s="1"/>
      <c r="E83" s="2"/>
      <c r="F83" s="1"/>
      <c r="G83" s="1"/>
      <c r="H83" s="1"/>
      <c r="I83" s="1"/>
      <c r="J83" s="1"/>
      <c r="K83" s="1"/>
      <c r="L83" s="4"/>
      <c r="M83" s="1"/>
      <c r="N83" s="3"/>
      <c r="O83" s="1"/>
      <c r="P83" s="3"/>
      <c r="Q83" s="1"/>
      <c r="R83" s="1"/>
      <c r="S83" s="1"/>
    </row>
    <row r="84" spans="2:19" ht="15.6" x14ac:dyDescent="0.3">
      <c r="B84" s="1" t="s">
        <v>885</v>
      </c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3"/>
      <c r="O84" s="1"/>
      <c r="P84" s="1"/>
      <c r="Q84" s="1"/>
      <c r="R84" s="1"/>
      <c r="S84" s="1"/>
    </row>
    <row r="85" spans="2:19" ht="15.6" x14ac:dyDescent="0.3">
      <c r="B85" s="1" t="s">
        <v>886</v>
      </c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3"/>
      <c r="O85" s="1"/>
      <c r="P85" s="6"/>
      <c r="Q85" s="4"/>
      <c r="R85" s="1"/>
      <c r="S85" s="1"/>
    </row>
    <row r="86" spans="2:19" ht="15.6" x14ac:dyDescent="0.3">
      <c r="B86" s="1" t="s">
        <v>887</v>
      </c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3"/>
      <c r="O86" s="1"/>
      <c r="P86" s="3"/>
      <c r="Q86" s="1"/>
      <c r="R86" s="1"/>
      <c r="S86" s="1"/>
    </row>
    <row r="87" spans="2:19" ht="15.6" x14ac:dyDescent="0.3">
      <c r="B87" s="1" t="s">
        <v>888</v>
      </c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3"/>
      <c r="O87" s="1"/>
      <c r="P87" s="3"/>
      <c r="Q87" s="1"/>
      <c r="R87" s="1"/>
      <c r="S87" s="1"/>
    </row>
    <row r="88" spans="2:19" ht="15.6" x14ac:dyDescent="0.3">
      <c r="B88" s="1" t="s">
        <v>889</v>
      </c>
      <c r="C88" s="1"/>
      <c r="D88" s="1"/>
      <c r="E88" s="2"/>
      <c r="F88" s="1"/>
      <c r="G88" s="1"/>
      <c r="H88" s="1"/>
      <c r="I88" s="4"/>
      <c r="J88" s="1"/>
      <c r="K88" s="1"/>
      <c r="L88" s="1"/>
      <c r="M88" s="1"/>
      <c r="N88" s="3"/>
      <c r="O88" s="1"/>
      <c r="P88" s="3"/>
      <c r="Q88" s="1"/>
      <c r="R88" s="1"/>
      <c r="S88" s="1"/>
    </row>
    <row r="89" spans="2:19" ht="15.6" x14ac:dyDescent="0.3">
      <c r="B89" s="1" t="s">
        <v>890</v>
      </c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3"/>
      <c r="O89" s="1"/>
      <c r="P89" s="3"/>
      <c r="Q89" s="1"/>
      <c r="R89" s="1"/>
      <c r="S89" s="1"/>
    </row>
    <row r="90" spans="2:19" ht="15.6" x14ac:dyDescent="0.3">
      <c r="B90" s="1" t="s">
        <v>891</v>
      </c>
      <c r="C90" s="1"/>
      <c r="D90" s="1"/>
      <c r="E90" s="2"/>
      <c r="F90" s="1"/>
      <c r="G90" s="1"/>
      <c r="H90" s="1"/>
      <c r="I90" s="4"/>
      <c r="J90" s="4"/>
      <c r="K90" s="1"/>
      <c r="L90" s="1"/>
      <c r="M90" s="1"/>
      <c r="N90" s="3"/>
      <c r="O90" s="1"/>
      <c r="P90" s="3"/>
      <c r="Q90" s="1"/>
      <c r="R90" s="1"/>
      <c r="S90" s="1"/>
    </row>
    <row r="91" spans="2:19" ht="15.6" x14ac:dyDescent="0.3">
      <c r="B91" s="1" t="s">
        <v>892</v>
      </c>
      <c r="C91" s="1"/>
      <c r="D91" s="1"/>
      <c r="E91" s="2"/>
      <c r="F91" s="1"/>
      <c r="G91" s="1"/>
      <c r="H91" s="1"/>
      <c r="I91" s="1"/>
      <c r="J91" s="1"/>
      <c r="K91" s="1"/>
      <c r="L91" s="4"/>
      <c r="M91" s="1"/>
      <c r="N91" s="1"/>
      <c r="O91" s="1"/>
      <c r="P91" s="3"/>
      <c r="Q91" s="1"/>
      <c r="R91" s="1"/>
      <c r="S91" s="1"/>
    </row>
    <row r="92" spans="2:19" ht="15.6" x14ac:dyDescent="0.3">
      <c r="B92" s="1" t="s">
        <v>893</v>
      </c>
      <c r="C92" s="1"/>
      <c r="D92" s="1"/>
      <c r="E92" s="2"/>
      <c r="F92" s="1"/>
      <c r="G92" s="1"/>
      <c r="H92" s="1"/>
      <c r="I92" s="1"/>
      <c r="J92" s="1"/>
      <c r="K92" s="1"/>
      <c r="L92" s="4"/>
      <c r="M92" s="1"/>
      <c r="N92" s="3"/>
      <c r="O92" s="1"/>
      <c r="P92" s="3"/>
      <c r="Q92" s="1"/>
      <c r="R92" s="1"/>
      <c r="S92" s="1"/>
    </row>
    <row r="93" spans="2:19" ht="15.6" x14ac:dyDescent="0.3">
      <c r="B93" s="1" t="s">
        <v>894</v>
      </c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3"/>
      <c r="O93" s="1"/>
      <c r="P93" s="3"/>
      <c r="Q93" s="4"/>
      <c r="R93" s="1"/>
      <c r="S93" s="1"/>
    </row>
    <row r="94" spans="2:19" ht="15.6" x14ac:dyDescent="0.3">
      <c r="B94" s="1" t="s">
        <v>895</v>
      </c>
      <c r="C94" s="1"/>
      <c r="D94" s="1"/>
      <c r="E94" s="2"/>
      <c r="F94" s="1"/>
      <c r="G94" s="1"/>
      <c r="H94" s="1"/>
      <c r="I94" s="1"/>
      <c r="J94" s="1"/>
      <c r="K94" s="1"/>
      <c r="L94" s="4"/>
      <c r="M94" s="1"/>
      <c r="N94" s="3"/>
      <c r="O94" s="1"/>
      <c r="P94" s="3"/>
      <c r="Q94" s="1"/>
      <c r="R94" s="1"/>
      <c r="S94" s="1"/>
    </row>
    <row r="95" spans="2:19" ht="15.6" x14ac:dyDescent="0.3">
      <c r="B95" s="1" t="s">
        <v>896</v>
      </c>
      <c r="C95" s="1"/>
      <c r="D95" s="1"/>
      <c r="E95" s="2"/>
      <c r="F95" s="1"/>
      <c r="G95" s="1"/>
      <c r="H95" s="1"/>
      <c r="I95" s="1"/>
      <c r="J95" s="1"/>
      <c r="K95" s="1"/>
      <c r="L95" s="4"/>
      <c r="M95" s="1"/>
      <c r="N95" s="3"/>
      <c r="O95" s="1"/>
      <c r="P95" s="3"/>
      <c r="Q95" s="1"/>
      <c r="R95" s="1"/>
      <c r="S95" s="1"/>
    </row>
    <row r="96" spans="2:19" ht="15.6" x14ac:dyDescent="0.3">
      <c r="B96" s="1" t="s">
        <v>897</v>
      </c>
      <c r="C96" s="1"/>
      <c r="D96" s="1"/>
      <c r="E96" s="2"/>
      <c r="F96" s="1"/>
      <c r="G96" s="1"/>
      <c r="H96" s="1"/>
      <c r="I96" s="1"/>
      <c r="J96" s="1"/>
      <c r="K96" s="1"/>
      <c r="L96" s="4"/>
      <c r="M96" s="1"/>
      <c r="N96" s="3"/>
      <c r="O96" s="1"/>
      <c r="P96" s="3"/>
      <c r="Q96" s="1"/>
      <c r="R96" s="1"/>
      <c r="S96" s="1"/>
    </row>
    <row r="97" spans="2:19" ht="15.6" x14ac:dyDescent="0.3">
      <c r="B97" s="1" t="s">
        <v>898</v>
      </c>
      <c r="C97" s="1"/>
      <c r="D97" s="1"/>
      <c r="E97" s="2"/>
      <c r="F97" s="1"/>
      <c r="G97" s="1"/>
      <c r="H97" s="1"/>
      <c r="I97" s="1"/>
      <c r="J97" s="1"/>
      <c r="K97" s="1"/>
      <c r="L97" s="4"/>
      <c r="M97" s="1"/>
      <c r="N97" s="1"/>
      <c r="O97" s="1"/>
      <c r="P97" s="3"/>
      <c r="Q97" s="1"/>
      <c r="R97" s="1"/>
      <c r="S97" s="1"/>
    </row>
    <row r="98" spans="2:19" ht="15.6" x14ac:dyDescent="0.3">
      <c r="B98" s="1" t="s">
        <v>899</v>
      </c>
      <c r="C98" s="1"/>
      <c r="D98" s="1"/>
      <c r="E98" s="2"/>
      <c r="F98" s="1"/>
      <c r="G98" s="1"/>
      <c r="H98" s="1"/>
      <c r="I98" s="1"/>
      <c r="J98" s="1"/>
      <c r="K98" s="4"/>
      <c r="L98" s="4"/>
      <c r="M98" s="1"/>
      <c r="N98" s="1"/>
      <c r="O98" s="1"/>
      <c r="P98" s="3"/>
      <c r="Q98" s="1"/>
      <c r="R98" s="1"/>
      <c r="S98" s="1"/>
    </row>
    <row r="99" spans="2:19" ht="15.6" x14ac:dyDescent="0.3">
      <c r="B99" s="1" t="s">
        <v>900</v>
      </c>
      <c r="C99" s="1"/>
      <c r="D99" s="1"/>
      <c r="E99" s="2"/>
      <c r="F99" s="1"/>
      <c r="G99" s="1"/>
      <c r="H99" s="1"/>
      <c r="I99" s="1"/>
      <c r="J99" s="1"/>
      <c r="K99" s="1"/>
      <c r="L99" s="4"/>
      <c r="M99" s="1"/>
      <c r="N99" s="3"/>
      <c r="O99" s="1"/>
      <c r="P99" s="3"/>
      <c r="Q99" s="1"/>
      <c r="R99" s="1"/>
      <c r="S99" s="1"/>
    </row>
    <row r="100" spans="2:19" ht="15.6" x14ac:dyDescent="0.3">
      <c r="B100" s="1" t="s">
        <v>901</v>
      </c>
      <c r="C100" s="1"/>
      <c r="D100" s="1"/>
      <c r="E100" s="2"/>
      <c r="F100" s="1"/>
      <c r="G100" s="1"/>
      <c r="H100" s="1"/>
      <c r="I100" s="1"/>
      <c r="J100" s="1"/>
      <c r="K100" s="1"/>
      <c r="L100" s="4"/>
      <c r="M100" s="1"/>
      <c r="N100" s="3"/>
      <c r="O100" s="1"/>
      <c r="P100" s="3"/>
      <c r="Q100" s="1"/>
      <c r="R100" s="1"/>
      <c r="S100" s="1"/>
    </row>
    <row r="101" spans="2:19" ht="15.6" x14ac:dyDescent="0.3">
      <c r="B101" s="1" t="s">
        <v>902</v>
      </c>
      <c r="C101" s="1"/>
      <c r="D101" s="1"/>
      <c r="E101" s="2"/>
      <c r="F101" s="1"/>
      <c r="G101" s="1"/>
      <c r="H101" s="1"/>
      <c r="I101" s="1"/>
      <c r="J101" s="4"/>
      <c r="K101" s="1"/>
      <c r="L101" s="4"/>
      <c r="M101" s="1"/>
      <c r="N101" s="3"/>
      <c r="O101" s="1"/>
      <c r="P101" s="3"/>
      <c r="Q101" s="1"/>
      <c r="R101" s="1"/>
      <c r="S101" s="1"/>
    </row>
    <row r="102" spans="2:19" ht="15.6" x14ac:dyDescent="0.3">
      <c r="B102" s="1" t="s">
        <v>903</v>
      </c>
      <c r="C102" s="1"/>
      <c r="D102" s="1"/>
      <c r="E102" s="2"/>
      <c r="F102" s="1"/>
      <c r="G102" s="1"/>
      <c r="H102" s="1"/>
      <c r="I102" s="1"/>
      <c r="J102" s="1"/>
      <c r="K102" s="1"/>
      <c r="L102" s="4"/>
      <c r="M102" s="1"/>
      <c r="N102" s="3"/>
      <c r="O102" s="1"/>
      <c r="P102" s="3"/>
      <c r="Q102" s="1"/>
      <c r="R102" s="1"/>
      <c r="S102" s="1"/>
    </row>
    <row r="103" spans="2:19" ht="15.6" x14ac:dyDescent="0.3">
      <c r="B103" s="1" t="s">
        <v>904</v>
      </c>
      <c r="C103" s="1"/>
      <c r="D103" s="1"/>
      <c r="E103" s="2"/>
      <c r="F103" s="1"/>
      <c r="G103" s="1"/>
      <c r="H103" s="1"/>
      <c r="I103" s="1"/>
      <c r="J103" s="1"/>
      <c r="K103" s="1"/>
      <c r="L103" s="4"/>
      <c r="M103" s="1"/>
      <c r="N103" s="3"/>
      <c r="O103" s="1"/>
      <c r="P103" s="3"/>
      <c r="Q103" s="1"/>
      <c r="R103" s="1"/>
      <c r="S103" s="1"/>
    </row>
    <row r="104" spans="2:19" ht="15.6" x14ac:dyDescent="0.3">
      <c r="B104" s="1" t="s">
        <v>905</v>
      </c>
      <c r="C104" s="1"/>
      <c r="D104" s="1"/>
      <c r="E104" s="2"/>
      <c r="F104" s="1"/>
      <c r="G104" s="1"/>
      <c r="H104" s="1"/>
      <c r="I104" s="1"/>
      <c r="J104" s="4"/>
      <c r="K104" s="1"/>
      <c r="L104" s="4"/>
      <c r="M104" s="1"/>
      <c r="N104" s="3"/>
      <c r="O104" s="1"/>
      <c r="P104" s="3"/>
      <c r="Q104" s="1"/>
      <c r="R104" s="1"/>
      <c r="S104" s="1"/>
    </row>
    <row r="105" spans="2:19" ht="15.6" x14ac:dyDescent="0.3">
      <c r="B105" s="1" t="s">
        <v>906</v>
      </c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4"/>
      <c r="N105" s="3"/>
      <c r="O105" s="1"/>
      <c r="P105" s="3"/>
      <c r="Q105" s="1"/>
      <c r="R105" s="1"/>
      <c r="S105" s="1"/>
    </row>
    <row r="106" spans="2:19" ht="15.6" x14ac:dyDescent="0.3">
      <c r="B106" s="1" t="s">
        <v>907</v>
      </c>
      <c r="C106" s="1"/>
      <c r="D106" s="1"/>
      <c r="E106" s="2"/>
      <c r="F106" s="1"/>
      <c r="G106" s="1"/>
      <c r="H106" s="1"/>
      <c r="I106" s="1"/>
      <c r="J106" s="4"/>
      <c r="K106" s="1"/>
      <c r="L106" s="4"/>
      <c r="M106" s="1"/>
      <c r="N106" s="3"/>
      <c r="O106" s="1"/>
      <c r="P106" s="3"/>
      <c r="Q106" s="1"/>
      <c r="R106" s="1"/>
      <c r="S106" s="1"/>
    </row>
    <row r="107" spans="2:19" ht="15.6" x14ac:dyDescent="0.3">
      <c r="B107" s="1" t="s">
        <v>908</v>
      </c>
      <c r="C107" s="1"/>
      <c r="D107" s="1"/>
      <c r="E107" s="2"/>
      <c r="F107" s="1"/>
      <c r="G107" s="1"/>
      <c r="H107" s="1"/>
      <c r="I107" s="4"/>
      <c r="J107" s="1"/>
      <c r="K107" s="1"/>
      <c r="L107" s="4"/>
      <c r="M107" s="1"/>
      <c r="N107" s="3"/>
      <c r="O107" s="1"/>
      <c r="P107" s="3"/>
      <c r="Q107" s="1"/>
      <c r="R107" s="1"/>
      <c r="S107" s="1"/>
    </row>
    <row r="108" spans="2:19" ht="15.6" x14ac:dyDescent="0.3">
      <c r="B108" s="1" t="s">
        <v>909</v>
      </c>
      <c r="C108" s="1"/>
      <c r="D108" s="1"/>
      <c r="E108" s="2"/>
      <c r="F108" s="1"/>
      <c r="G108" s="1"/>
      <c r="H108" s="1"/>
      <c r="I108" s="1"/>
      <c r="J108" s="1"/>
      <c r="K108" s="1"/>
      <c r="L108" s="4"/>
      <c r="M108" s="4"/>
      <c r="N108" s="3"/>
      <c r="O108" s="1"/>
      <c r="P108" s="3"/>
      <c r="Q108" s="1"/>
      <c r="R108" s="1"/>
      <c r="S108" s="1"/>
    </row>
    <row r="109" spans="2:19" ht="15.6" x14ac:dyDescent="0.3">
      <c r="B109" s="1" t="s">
        <v>910</v>
      </c>
      <c r="C109" s="1"/>
      <c r="D109" s="1"/>
      <c r="E109" s="2"/>
      <c r="F109" s="1"/>
      <c r="G109" s="1"/>
      <c r="H109" s="1"/>
      <c r="I109" s="1"/>
      <c r="J109" s="1"/>
      <c r="K109" s="1"/>
      <c r="L109" s="4"/>
      <c r="M109" s="1"/>
      <c r="N109" s="3"/>
      <c r="O109" s="1"/>
      <c r="P109" s="3"/>
      <c r="Q109" s="4"/>
      <c r="R109" s="1"/>
      <c r="S109" s="1"/>
    </row>
    <row r="110" spans="2:19" ht="15.6" x14ac:dyDescent="0.3">
      <c r="B110" s="1" t="s">
        <v>911</v>
      </c>
      <c r="C110" s="1"/>
      <c r="D110" s="1"/>
      <c r="E110" s="2"/>
      <c r="F110" s="1"/>
      <c r="G110" s="1"/>
      <c r="H110" s="1"/>
      <c r="I110" s="1"/>
      <c r="J110" s="1"/>
      <c r="K110" s="1"/>
      <c r="L110" s="4"/>
      <c r="M110" s="1"/>
      <c r="N110" s="3"/>
      <c r="O110" s="1"/>
      <c r="P110" s="3"/>
      <c r="Q110" s="1"/>
      <c r="R110" s="1"/>
      <c r="S110" s="1"/>
    </row>
    <row r="111" spans="2:19" ht="15.6" x14ac:dyDescent="0.3">
      <c r="B111" s="1" t="s">
        <v>912</v>
      </c>
      <c r="C111" s="1"/>
      <c r="D111" s="1"/>
      <c r="E111" s="2"/>
      <c r="F111" s="1"/>
      <c r="G111" s="1"/>
      <c r="H111" s="1"/>
      <c r="I111" s="1"/>
      <c r="J111" s="1"/>
      <c r="K111" s="1"/>
      <c r="L111" s="4"/>
      <c r="M111" s="1"/>
      <c r="N111" s="3"/>
      <c r="O111" s="1"/>
      <c r="P111" s="3"/>
      <c r="Q111" s="1"/>
      <c r="R111" s="1"/>
      <c r="S111" s="1"/>
    </row>
    <row r="112" spans="2:19" ht="15.6" x14ac:dyDescent="0.3">
      <c r="B112" s="1" t="s">
        <v>913</v>
      </c>
      <c r="C112" s="1"/>
      <c r="D112" s="1"/>
      <c r="E112" s="2"/>
      <c r="F112" s="1"/>
      <c r="G112" s="1"/>
      <c r="H112" s="1"/>
      <c r="I112" s="1"/>
      <c r="J112" s="1"/>
      <c r="K112" s="1"/>
      <c r="L112" s="4"/>
      <c r="M112" s="1"/>
      <c r="N112" s="3"/>
      <c r="O112" s="1"/>
      <c r="P112" s="3"/>
      <c r="Q112" s="1"/>
      <c r="R112" s="1"/>
      <c r="S112" s="1"/>
    </row>
    <row r="113" spans="2:19" ht="15.6" x14ac:dyDescent="0.3">
      <c r="B113" s="1" t="s">
        <v>914</v>
      </c>
      <c r="C113" s="1"/>
      <c r="D113" s="1"/>
      <c r="E113" s="2"/>
      <c r="F113" s="1"/>
      <c r="G113" s="1"/>
      <c r="H113" s="1"/>
      <c r="I113" s="1"/>
      <c r="J113" s="1"/>
      <c r="K113" s="1"/>
      <c r="L113" s="4"/>
      <c r="M113" s="1"/>
      <c r="N113" s="3"/>
      <c r="O113" s="1"/>
      <c r="P113" s="3"/>
      <c r="Q113" s="1"/>
      <c r="R113" s="1"/>
      <c r="S113" s="1"/>
    </row>
    <row r="114" spans="2:19" ht="15.6" x14ac:dyDescent="0.3">
      <c r="B114" s="1" t="s">
        <v>915</v>
      </c>
      <c r="C114" s="1"/>
      <c r="D114" s="1"/>
      <c r="E114" s="2"/>
      <c r="F114" s="1"/>
      <c r="G114" s="1"/>
      <c r="H114" s="1"/>
      <c r="I114" s="1"/>
      <c r="J114" s="1"/>
      <c r="K114" s="1"/>
      <c r="L114" s="4"/>
      <c r="M114" s="1"/>
      <c r="N114" s="3"/>
      <c r="O114" s="1"/>
      <c r="P114" s="3"/>
      <c r="Q114" s="1"/>
      <c r="R114" s="1"/>
      <c r="S114" s="1"/>
    </row>
    <row r="115" spans="2:19" ht="15.6" x14ac:dyDescent="0.3">
      <c r="B115" s="1" t="s">
        <v>916</v>
      </c>
      <c r="C115" s="1"/>
      <c r="D115" s="1"/>
      <c r="E115" s="2"/>
      <c r="F115" s="1"/>
      <c r="G115" s="1"/>
      <c r="H115" s="1"/>
      <c r="I115" s="4"/>
      <c r="J115" s="1"/>
      <c r="K115" s="1"/>
      <c r="L115" s="1"/>
      <c r="M115" s="1"/>
      <c r="N115" s="1"/>
      <c r="O115" s="1"/>
      <c r="P115" s="6"/>
      <c r="Q115" s="1"/>
      <c r="R115" s="1"/>
      <c r="S115" s="1"/>
    </row>
    <row r="116" spans="2:19" ht="15.6" x14ac:dyDescent="0.3">
      <c r="B116" s="1" t="s">
        <v>917</v>
      </c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"/>
      <c r="Q116" s="1"/>
      <c r="R116" s="1"/>
      <c r="S116" s="1"/>
    </row>
    <row r="117" spans="2:19" ht="15.6" x14ac:dyDescent="0.3">
      <c r="B117" s="1" t="s">
        <v>918</v>
      </c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3"/>
      <c r="O117" s="1"/>
      <c r="P117" s="3"/>
      <c r="Q117" s="4"/>
      <c r="R117" s="1"/>
      <c r="S117" s="1"/>
    </row>
    <row r="118" spans="2:19" ht="15.6" x14ac:dyDescent="0.3">
      <c r="B118" s="1" t="s">
        <v>919</v>
      </c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3"/>
      <c r="O118" s="1"/>
      <c r="P118" s="3"/>
      <c r="Q118" s="1"/>
      <c r="R118" s="1"/>
      <c r="S118" s="1"/>
    </row>
    <row r="119" spans="2:19" ht="15.6" x14ac:dyDescent="0.3">
      <c r="B119" s="1" t="s">
        <v>920</v>
      </c>
      <c r="C119" s="1"/>
      <c r="D119" s="1"/>
      <c r="E119" s="2"/>
      <c r="F119" s="1"/>
      <c r="G119" s="1"/>
      <c r="H119" s="1"/>
      <c r="I119" s="1"/>
      <c r="J119" s="1"/>
      <c r="K119" s="4"/>
      <c r="L119" s="1"/>
      <c r="M119" s="1"/>
      <c r="N119" s="3"/>
      <c r="O119" s="1"/>
      <c r="P119" s="3"/>
      <c r="Q119" s="1"/>
      <c r="R119" s="1"/>
      <c r="S119" s="1"/>
    </row>
    <row r="120" spans="2:19" ht="15.6" x14ac:dyDescent="0.3">
      <c r="B120" s="1" t="s">
        <v>921</v>
      </c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3"/>
      <c r="O120" s="1"/>
      <c r="P120" s="3"/>
      <c r="Q120" s="1"/>
      <c r="R120" s="1"/>
      <c r="S120" s="1"/>
    </row>
    <row r="121" spans="2:19" ht="15.6" x14ac:dyDescent="0.3">
      <c r="B121" s="1" t="s">
        <v>922</v>
      </c>
      <c r="C121" s="1"/>
      <c r="D121" s="1"/>
      <c r="E121" s="2"/>
      <c r="F121" s="1"/>
      <c r="G121" s="1"/>
      <c r="H121" s="1"/>
      <c r="I121" s="1"/>
      <c r="J121" s="1"/>
      <c r="K121" s="4"/>
      <c r="L121" s="4"/>
      <c r="M121" s="1"/>
      <c r="N121" s="3"/>
      <c r="O121" s="1"/>
      <c r="P121" s="3"/>
      <c r="Q121" s="1"/>
      <c r="R121" s="1"/>
      <c r="S121" s="1"/>
    </row>
    <row r="122" spans="2:19" ht="15.6" x14ac:dyDescent="0.3">
      <c r="B122" s="1" t="s">
        <v>923</v>
      </c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3"/>
      <c r="O122" s="1"/>
      <c r="P122" s="3"/>
      <c r="Q122" s="1"/>
      <c r="R122" s="1"/>
      <c r="S122" s="1"/>
    </row>
    <row r="123" spans="2:19" ht="15.6" x14ac:dyDescent="0.3">
      <c r="B123" s="1" t="s">
        <v>924</v>
      </c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4"/>
      <c r="N123" s="3"/>
      <c r="O123" s="1"/>
      <c r="P123" s="3"/>
      <c r="Q123" s="1"/>
      <c r="R123" s="1"/>
      <c r="S123" s="1"/>
    </row>
    <row r="124" spans="2:19" ht="15.6" x14ac:dyDescent="0.3">
      <c r="B124" s="1" t="s">
        <v>925</v>
      </c>
      <c r="C124" s="1"/>
      <c r="D124" s="1"/>
      <c r="E124" s="2"/>
      <c r="F124" s="1"/>
      <c r="G124" s="1"/>
      <c r="H124" s="1"/>
      <c r="I124" s="1"/>
      <c r="J124" s="4"/>
      <c r="K124" s="1"/>
      <c r="L124" s="1"/>
      <c r="M124" s="4"/>
      <c r="N124" s="3"/>
      <c r="O124" s="1"/>
      <c r="P124" s="3"/>
      <c r="Q124" s="1"/>
      <c r="R124" s="1"/>
      <c r="S124" s="1"/>
    </row>
    <row r="125" spans="2:19" ht="15.6" x14ac:dyDescent="0.3">
      <c r="B125" s="1" t="s">
        <v>926</v>
      </c>
      <c r="C125" s="1"/>
      <c r="D125" s="1"/>
      <c r="E125" s="2"/>
      <c r="F125" s="1"/>
      <c r="G125" s="1"/>
      <c r="H125" s="1"/>
      <c r="I125" s="1"/>
      <c r="J125" s="1"/>
      <c r="K125" s="1"/>
      <c r="L125" s="4"/>
      <c r="M125" s="1"/>
      <c r="N125" s="3"/>
      <c r="O125" s="1"/>
      <c r="P125" s="3"/>
      <c r="Q125" s="1"/>
      <c r="R125" s="1"/>
      <c r="S125" s="1"/>
    </row>
    <row r="126" spans="2:19" ht="15.6" x14ac:dyDescent="0.3">
      <c r="B126" s="1" t="s">
        <v>927</v>
      </c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3"/>
      <c r="O126" s="1"/>
      <c r="P126" s="6"/>
      <c r="Q126" s="1"/>
      <c r="R126" s="1"/>
      <c r="S126" s="1"/>
    </row>
    <row r="127" spans="2:19" ht="15.6" x14ac:dyDescent="0.3">
      <c r="B127" s="1" t="s">
        <v>928</v>
      </c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3"/>
      <c r="O127" s="4"/>
      <c r="P127" s="1"/>
      <c r="Q127" s="1"/>
      <c r="R127" s="1"/>
      <c r="S127" s="1"/>
    </row>
    <row r="128" spans="2:19" ht="15.6" x14ac:dyDescent="0.3">
      <c r="B128" s="1" t="s">
        <v>929</v>
      </c>
      <c r="C128" s="1"/>
      <c r="D128" s="1"/>
      <c r="E128" s="2"/>
      <c r="F128" s="1"/>
      <c r="G128" s="1"/>
      <c r="H128" s="1"/>
      <c r="I128" s="1"/>
      <c r="J128" s="4"/>
      <c r="K128" s="1"/>
      <c r="L128" s="1"/>
      <c r="M128" s="1"/>
      <c r="N128" s="1"/>
      <c r="O128" s="1"/>
      <c r="P128" s="3"/>
      <c r="Q128" s="1"/>
      <c r="R128" s="1"/>
      <c r="S128" s="1"/>
    </row>
    <row r="129" spans="2:19" ht="15.6" x14ac:dyDescent="0.3">
      <c r="B129" s="1" t="s">
        <v>930</v>
      </c>
      <c r="C129" s="1"/>
      <c r="D129" s="1"/>
      <c r="E129" s="2"/>
      <c r="F129" s="1"/>
      <c r="G129" s="1"/>
      <c r="H129" s="1"/>
      <c r="I129" s="1"/>
      <c r="J129" s="4"/>
      <c r="K129" s="4"/>
      <c r="L129" s="1"/>
      <c r="M129" s="1"/>
      <c r="N129" s="3"/>
      <c r="O129" s="1"/>
      <c r="P129" s="3"/>
      <c r="Q129" s="1"/>
      <c r="R129" s="1"/>
      <c r="S129" s="1"/>
    </row>
    <row r="130" spans="2:19" ht="15.6" x14ac:dyDescent="0.3">
      <c r="B130" s="1" t="s">
        <v>931</v>
      </c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3"/>
      <c r="O130" s="1"/>
      <c r="P130" s="1"/>
      <c r="Q130" s="1"/>
      <c r="R130" s="1"/>
      <c r="S130" s="1"/>
    </row>
    <row r="131" spans="2:19" ht="15.6" x14ac:dyDescent="0.3">
      <c r="B131" s="1" t="s">
        <v>932</v>
      </c>
      <c r="C131" s="1"/>
      <c r="D131" s="1"/>
      <c r="E131" s="2"/>
      <c r="F131" s="1"/>
      <c r="G131" s="1"/>
      <c r="H131" s="1"/>
      <c r="I131" s="1"/>
      <c r="J131" s="1"/>
      <c r="K131" s="1"/>
      <c r="L131" s="4"/>
      <c r="M131" s="1"/>
      <c r="N131" s="3"/>
      <c r="O131" s="1"/>
      <c r="P131" s="3"/>
      <c r="Q131" s="1"/>
      <c r="R131" s="1"/>
      <c r="S131" s="1"/>
    </row>
    <row r="132" spans="2:19" ht="15.6" x14ac:dyDescent="0.3">
      <c r="B132" s="1" t="s">
        <v>933</v>
      </c>
      <c r="C132" s="1"/>
      <c r="D132" s="1"/>
      <c r="E132" s="2"/>
      <c r="F132" s="1"/>
      <c r="G132" s="1"/>
      <c r="H132" s="1"/>
      <c r="I132" s="1"/>
      <c r="J132" s="1"/>
      <c r="K132" s="4"/>
      <c r="L132" s="4"/>
      <c r="M132" s="4"/>
      <c r="N132" s="1"/>
      <c r="O132" s="1"/>
      <c r="P132" s="3"/>
      <c r="Q132" s="1"/>
      <c r="R132" s="1"/>
      <c r="S132" s="1"/>
    </row>
    <row r="133" spans="2:19" ht="15.6" x14ac:dyDescent="0.3">
      <c r="B133" s="1" t="s">
        <v>934</v>
      </c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3"/>
      <c r="O133" s="1"/>
      <c r="P133" s="3"/>
      <c r="Q133" s="1"/>
      <c r="R133" s="1"/>
      <c r="S133" s="1"/>
    </row>
    <row r="134" spans="2:19" ht="15.6" x14ac:dyDescent="0.3">
      <c r="B134" s="1" t="s">
        <v>935</v>
      </c>
      <c r="C134" s="1"/>
      <c r="D134" s="1"/>
      <c r="E134" s="2"/>
      <c r="F134" s="1"/>
      <c r="G134" s="1"/>
      <c r="H134" s="1"/>
      <c r="I134" s="1"/>
      <c r="J134" s="1"/>
      <c r="K134" s="4"/>
      <c r="L134" s="1"/>
      <c r="M134" s="1"/>
      <c r="N134" s="3"/>
      <c r="O134" s="1"/>
      <c r="P134" s="3"/>
      <c r="Q134" s="1"/>
      <c r="R134" s="1"/>
      <c r="S134" s="1"/>
    </row>
    <row r="135" spans="2:19" ht="15.6" x14ac:dyDescent="0.3">
      <c r="B135" s="1" t="s">
        <v>936</v>
      </c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3"/>
      <c r="O135" s="1"/>
      <c r="P135" s="6"/>
      <c r="Q135" s="1"/>
      <c r="R135" s="1"/>
      <c r="S135" s="1"/>
    </row>
    <row r="136" spans="2:19" ht="15.6" x14ac:dyDescent="0.3">
      <c r="B136" s="1" t="s">
        <v>937</v>
      </c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3"/>
      <c r="O136" s="1"/>
      <c r="P136" s="3"/>
      <c r="Q136" s="1"/>
      <c r="R136" s="1"/>
      <c r="S136" s="1"/>
    </row>
    <row r="137" spans="2:19" ht="15.6" x14ac:dyDescent="0.3">
      <c r="B137" s="1" t="s">
        <v>938</v>
      </c>
      <c r="C137" s="1"/>
      <c r="D137" s="1"/>
      <c r="E137" s="2"/>
      <c r="F137" s="1"/>
      <c r="G137" s="1"/>
      <c r="H137" s="1"/>
      <c r="I137" s="1"/>
      <c r="J137" s="1"/>
      <c r="K137" s="1"/>
      <c r="L137" s="4"/>
      <c r="M137" s="1"/>
      <c r="N137" s="3"/>
      <c r="O137" s="1"/>
      <c r="P137" s="3"/>
      <c r="Q137" s="1"/>
      <c r="R137" s="1"/>
      <c r="S137" s="1"/>
    </row>
    <row r="138" spans="2:19" ht="15.6" x14ac:dyDescent="0.3">
      <c r="B138" s="1" t="s">
        <v>939</v>
      </c>
      <c r="C138" s="1"/>
      <c r="D138" s="1"/>
      <c r="E138" s="2"/>
      <c r="F138" s="1"/>
      <c r="G138" s="1"/>
      <c r="H138" s="1"/>
      <c r="I138" s="4"/>
      <c r="J138" s="1"/>
      <c r="K138" s="1"/>
      <c r="L138" s="1"/>
      <c r="M138" s="1"/>
      <c r="N138" s="1"/>
      <c r="O138" s="1"/>
      <c r="P138" s="6"/>
      <c r="Q138" s="1"/>
      <c r="R138" s="1"/>
      <c r="S138" s="1"/>
    </row>
    <row r="139" spans="2:19" ht="15.6" x14ac:dyDescent="0.3">
      <c r="B139" s="1" t="s">
        <v>940</v>
      </c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"/>
      <c r="Q139" s="1"/>
      <c r="R139" s="1"/>
      <c r="S139" s="1"/>
    </row>
    <row r="140" spans="2:19" ht="15.6" x14ac:dyDescent="0.3">
      <c r="B140" s="1" t="s">
        <v>941</v>
      </c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3"/>
      <c r="O140" s="1"/>
      <c r="P140" s="3"/>
      <c r="Q140" s="4"/>
      <c r="R140" s="1"/>
      <c r="S140" s="1"/>
    </row>
    <row r="141" spans="2:19" ht="15.6" x14ac:dyDescent="0.3">
      <c r="B141" s="1" t="s">
        <v>942</v>
      </c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3"/>
      <c r="O141" s="1"/>
      <c r="P141" s="3"/>
      <c r="Q141" s="1"/>
      <c r="R141" s="1"/>
      <c r="S141" s="1"/>
    </row>
    <row r="142" spans="2:19" ht="15.6" x14ac:dyDescent="0.3">
      <c r="B142" s="1" t="s">
        <v>943</v>
      </c>
      <c r="C142" s="1"/>
      <c r="D142" s="1"/>
      <c r="E142" s="2"/>
      <c r="F142" s="1"/>
      <c r="G142" s="1"/>
      <c r="H142" s="1"/>
      <c r="I142" s="1"/>
      <c r="J142" s="1"/>
      <c r="K142" s="4"/>
      <c r="L142" s="1"/>
      <c r="M142" s="1"/>
      <c r="N142" s="3"/>
      <c r="O142" s="1"/>
      <c r="P142" s="3"/>
      <c r="Q142" s="1"/>
      <c r="R142" s="1"/>
      <c r="S142" s="1"/>
    </row>
    <row r="143" spans="2:19" ht="15.6" x14ac:dyDescent="0.3">
      <c r="B143" s="1" t="s">
        <v>944</v>
      </c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3"/>
      <c r="O143" s="1"/>
      <c r="P143" s="3"/>
      <c r="Q143" s="1"/>
      <c r="R143" s="1"/>
      <c r="S143" s="1"/>
    </row>
    <row r="144" spans="2:19" ht="15.6" x14ac:dyDescent="0.3">
      <c r="B144" s="1" t="s">
        <v>945</v>
      </c>
      <c r="C144" s="1"/>
      <c r="D144" s="1"/>
      <c r="E144" s="2"/>
      <c r="F144" s="1"/>
      <c r="G144" s="1"/>
      <c r="H144" s="1"/>
      <c r="I144" s="1"/>
      <c r="J144" s="1"/>
      <c r="K144" s="4"/>
      <c r="L144" s="4"/>
      <c r="M144" s="1"/>
      <c r="N144" s="3"/>
      <c r="O144" s="1"/>
      <c r="P144" s="3"/>
      <c r="Q144" s="1"/>
      <c r="R144" s="1"/>
      <c r="S144" s="1"/>
    </row>
    <row r="145" spans="2:19" ht="15.6" x14ac:dyDescent="0.3">
      <c r="B145" s="1" t="s">
        <v>946</v>
      </c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3"/>
      <c r="O145" s="1"/>
      <c r="P145" s="3"/>
      <c r="Q145" s="1"/>
      <c r="R145" s="1"/>
      <c r="S145" s="1"/>
    </row>
    <row r="146" spans="2:19" ht="15.6" x14ac:dyDescent="0.3">
      <c r="B146" s="1" t="s">
        <v>947</v>
      </c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4"/>
      <c r="N146" s="3"/>
      <c r="O146" s="1"/>
      <c r="P146" s="3"/>
      <c r="Q146" s="1"/>
      <c r="R146" s="1"/>
      <c r="S146" s="1"/>
    </row>
    <row r="147" spans="2:19" ht="15.6" x14ac:dyDescent="0.3">
      <c r="B147" s="1" t="s">
        <v>948</v>
      </c>
      <c r="C147" s="1"/>
      <c r="D147" s="1"/>
      <c r="E147" s="2"/>
      <c r="F147" s="1"/>
      <c r="G147" s="1"/>
      <c r="H147" s="1"/>
      <c r="I147" s="1"/>
      <c r="J147" s="4"/>
      <c r="K147" s="1"/>
      <c r="L147" s="1"/>
      <c r="M147" s="4"/>
      <c r="N147" s="3"/>
      <c r="O147" s="1"/>
      <c r="P147" s="3"/>
      <c r="Q147" s="1"/>
      <c r="R147" s="1"/>
      <c r="S147" s="1"/>
    </row>
    <row r="148" spans="2:19" ht="15.6" x14ac:dyDescent="0.3">
      <c r="B148" s="1" t="s">
        <v>949</v>
      </c>
      <c r="C148" s="1"/>
      <c r="D148" s="1"/>
      <c r="E148" s="2"/>
      <c r="F148" s="1"/>
      <c r="G148" s="1"/>
      <c r="H148" s="1"/>
      <c r="I148" s="1"/>
      <c r="J148" s="1"/>
      <c r="K148" s="1"/>
      <c r="L148" s="4"/>
      <c r="M148" s="1"/>
      <c r="N148" s="3"/>
      <c r="O148" s="1"/>
      <c r="P148" s="3"/>
      <c r="Q148" s="1"/>
      <c r="R148" s="1"/>
      <c r="S148" s="1"/>
    </row>
    <row r="149" spans="2:19" ht="15.6" x14ac:dyDescent="0.3">
      <c r="B149" s="1" t="s">
        <v>950</v>
      </c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3"/>
      <c r="O149" s="1"/>
      <c r="P149" s="6"/>
      <c r="Q149" s="1"/>
      <c r="R149" s="1"/>
      <c r="S149" s="1"/>
    </row>
    <row r="150" spans="2:19" ht="15.6" x14ac:dyDescent="0.3">
      <c r="B150" s="1" t="s">
        <v>951</v>
      </c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3"/>
      <c r="O150" s="4"/>
      <c r="P150" s="1"/>
      <c r="Q150" s="1"/>
      <c r="R150" s="1"/>
      <c r="S150" s="1"/>
    </row>
    <row r="151" spans="2:19" ht="15.6" x14ac:dyDescent="0.3">
      <c r="B151" s="1" t="s">
        <v>952</v>
      </c>
      <c r="C151" s="1"/>
      <c r="D151" s="1"/>
      <c r="E151" s="2"/>
      <c r="F151" s="1"/>
      <c r="G151" s="1"/>
      <c r="H151" s="1"/>
      <c r="I151" s="1"/>
      <c r="J151" s="4"/>
      <c r="K151" s="1"/>
      <c r="L151" s="1"/>
      <c r="M151" s="1"/>
      <c r="N151" s="1"/>
      <c r="O151" s="1"/>
      <c r="P151" s="3"/>
      <c r="Q151" s="1"/>
      <c r="R151" s="1"/>
      <c r="S151" s="1"/>
    </row>
    <row r="152" spans="2:19" ht="15.6" x14ac:dyDescent="0.3">
      <c r="B152" s="1" t="s">
        <v>953</v>
      </c>
      <c r="C152" s="1"/>
      <c r="D152" s="1"/>
      <c r="E152" s="2"/>
      <c r="F152" s="1"/>
      <c r="G152" s="1"/>
      <c r="H152" s="1"/>
      <c r="I152" s="1"/>
      <c r="J152" s="4"/>
      <c r="K152" s="4"/>
      <c r="L152" s="1"/>
      <c r="M152" s="1"/>
      <c r="N152" s="3"/>
      <c r="O152" s="1"/>
      <c r="P152" s="3"/>
      <c r="Q152" s="1"/>
      <c r="R152" s="1"/>
      <c r="S152" s="1"/>
    </row>
    <row r="153" spans="2:19" ht="15.6" x14ac:dyDescent="0.3">
      <c r="B153" s="1" t="s">
        <v>954</v>
      </c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3"/>
      <c r="O153" s="1"/>
      <c r="P153" s="1"/>
      <c r="Q153" s="1"/>
      <c r="R153" s="1"/>
      <c r="S153" s="1"/>
    </row>
    <row r="154" spans="2:19" ht="15.6" x14ac:dyDescent="0.3">
      <c r="B154" s="1" t="s">
        <v>955</v>
      </c>
      <c r="C154" s="1"/>
      <c r="D154" s="1"/>
      <c r="E154" s="2"/>
      <c r="F154" s="1"/>
      <c r="G154" s="1"/>
      <c r="H154" s="1"/>
      <c r="I154" s="1"/>
      <c r="J154" s="1"/>
      <c r="K154" s="1"/>
      <c r="L154" s="4"/>
      <c r="M154" s="1"/>
      <c r="N154" s="3"/>
      <c r="O154" s="1"/>
      <c r="P154" s="3"/>
      <c r="Q154" s="1"/>
      <c r="R154" s="1"/>
      <c r="S154" s="1"/>
    </row>
    <row r="155" spans="2:19" ht="15.6" x14ac:dyDescent="0.3">
      <c r="B155" s="1" t="s">
        <v>956</v>
      </c>
      <c r="C155" s="1"/>
      <c r="D155" s="1"/>
      <c r="E155" s="2"/>
      <c r="F155" s="1"/>
      <c r="G155" s="1"/>
      <c r="H155" s="1"/>
      <c r="I155" s="1"/>
      <c r="J155" s="1"/>
      <c r="K155" s="4"/>
      <c r="L155" s="4"/>
      <c r="M155" s="4"/>
      <c r="N155" s="1"/>
      <c r="O155" s="1"/>
      <c r="P155" s="3"/>
      <c r="Q155" s="1"/>
      <c r="R155" s="1"/>
      <c r="S155" s="1"/>
    </row>
    <row r="156" spans="2:19" ht="15.6" x14ac:dyDescent="0.3">
      <c r="B156" s="1" t="s">
        <v>957</v>
      </c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3"/>
      <c r="O156" s="1"/>
      <c r="P156" s="3"/>
      <c r="Q156" s="1"/>
      <c r="R156" s="1"/>
      <c r="S156" s="1"/>
    </row>
    <row r="157" spans="2:19" ht="15.6" x14ac:dyDescent="0.3">
      <c r="B157" s="1" t="s">
        <v>958</v>
      </c>
      <c r="C157" s="1"/>
      <c r="D157" s="1"/>
      <c r="E157" s="2"/>
      <c r="F157" s="1"/>
      <c r="G157" s="1"/>
      <c r="H157" s="1"/>
      <c r="I157" s="1"/>
      <c r="J157" s="1"/>
      <c r="K157" s="4"/>
      <c r="L157" s="1"/>
      <c r="M157" s="1"/>
      <c r="N157" s="3"/>
      <c r="O157" s="1"/>
      <c r="P157" s="3"/>
      <c r="Q157" s="1"/>
      <c r="R157" s="1"/>
      <c r="S157" s="1"/>
    </row>
    <row r="158" spans="2:19" ht="15.6" x14ac:dyDescent="0.3">
      <c r="B158" s="1" t="s">
        <v>959</v>
      </c>
      <c r="C158" s="1"/>
      <c r="D158" s="1"/>
      <c r="E158" s="2"/>
      <c r="F158" s="1"/>
      <c r="G158" s="1"/>
      <c r="H158" s="1"/>
      <c r="I158" s="4"/>
      <c r="J158" s="1"/>
      <c r="K158" s="1"/>
      <c r="L158" s="1"/>
      <c r="M158" s="1"/>
      <c r="N158" s="1"/>
      <c r="O158" s="1"/>
      <c r="P158" s="6"/>
      <c r="Q158" s="1"/>
      <c r="R158" s="1"/>
      <c r="S158" s="1"/>
    </row>
    <row r="159" spans="2:19" ht="15.6" x14ac:dyDescent="0.3">
      <c r="B159" s="1" t="s">
        <v>960</v>
      </c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</row>
    <row r="160" spans="2:19" ht="15.6" x14ac:dyDescent="0.3">
      <c r="B160" s="1" t="s">
        <v>961</v>
      </c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3"/>
      <c r="O160" s="1"/>
      <c r="P160" s="3"/>
      <c r="Q160" s="4"/>
      <c r="R160" s="1"/>
      <c r="S160" s="1"/>
    </row>
    <row r="161" spans="2:19" ht="15.6" x14ac:dyDescent="0.3">
      <c r="B161" s="1" t="s">
        <v>962</v>
      </c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3"/>
      <c r="O161" s="1"/>
      <c r="P161" s="3"/>
      <c r="Q161" s="1"/>
      <c r="R161" s="1"/>
      <c r="S161" s="1"/>
    </row>
    <row r="162" spans="2:19" ht="15.6" x14ac:dyDescent="0.3">
      <c r="B162" s="1" t="s">
        <v>963</v>
      </c>
      <c r="C162" s="1"/>
      <c r="D162" s="1"/>
      <c r="E162" s="2"/>
      <c r="F162" s="1"/>
      <c r="G162" s="1"/>
      <c r="H162" s="1"/>
      <c r="I162" s="1"/>
      <c r="J162" s="1"/>
      <c r="K162" s="4"/>
      <c r="L162" s="1"/>
      <c r="M162" s="1"/>
      <c r="N162" s="3"/>
      <c r="O162" s="1"/>
      <c r="P162" s="3"/>
      <c r="Q162" s="1"/>
      <c r="R162" s="1"/>
      <c r="S162" s="1"/>
    </row>
    <row r="163" spans="2:19" ht="15.6" x14ac:dyDescent="0.3">
      <c r="B163" s="1" t="s">
        <v>964</v>
      </c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3"/>
      <c r="O163" s="1"/>
      <c r="P163" s="3"/>
      <c r="Q163" s="1"/>
      <c r="R163" s="1"/>
      <c r="S163" s="1"/>
    </row>
    <row r="164" spans="2:19" ht="15.6" x14ac:dyDescent="0.3">
      <c r="B164" s="1" t="s">
        <v>965</v>
      </c>
      <c r="C164" s="1"/>
      <c r="D164" s="1"/>
      <c r="E164" s="2"/>
      <c r="F164" s="1"/>
      <c r="G164" s="1"/>
      <c r="H164" s="1"/>
      <c r="I164" s="1"/>
      <c r="J164" s="1"/>
      <c r="K164" s="4"/>
      <c r="L164" s="4"/>
      <c r="M164" s="1"/>
      <c r="N164" s="3"/>
      <c r="O164" s="1"/>
      <c r="P164" s="3"/>
      <c r="Q164" s="1"/>
      <c r="R164" s="1"/>
      <c r="S164" s="1"/>
    </row>
    <row r="165" spans="2:19" ht="15.6" x14ac:dyDescent="0.3">
      <c r="B165" s="1" t="s">
        <v>966</v>
      </c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3"/>
      <c r="O165" s="1"/>
      <c r="P165" s="3"/>
      <c r="Q165" s="1"/>
      <c r="R165" s="1"/>
      <c r="S165" s="1"/>
    </row>
    <row r="166" spans="2:19" ht="15.6" x14ac:dyDescent="0.3">
      <c r="B166" s="1" t="s">
        <v>967</v>
      </c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4"/>
      <c r="N166" s="3"/>
      <c r="O166" s="1"/>
      <c r="P166" s="3"/>
      <c r="Q166" s="1"/>
      <c r="R166" s="1"/>
      <c r="S166" s="1"/>
    </row>
    <row r="167" spans="2:19" ht="15.6" x14ac:dyDescent="0.3">
      <c r="B167" s="1" t="s">
        <v>968</v>
      </c>
      <c r="C167" s="1"/>
      <c r="D167" s="1"/>
      <c r="E167" s="2"/>
      <c r="F167" s="1"/>
      <c r="G167" s="1"/>
      <c r="H167" s="1"/>
      <c r="I167" s="1"/>
      <c r="J167" s="4"/>
      <c r="K167" s="1"/>
      <c r="L167" s="1"/>
      <c r="M167" s="4"/>
      <c r="N167" s="3"/>
      <c r="O167" s="1"/>
      <c r="P167" s="3"/>
      <c r="Q167" s="1"/>
      <c r="R167" s="1"/>
      <c r="S167" s="1"/>
    </row>
    <row r="168" spans="2:19" ht="15.6" x14ac:dyDescent="0.3">
      <c r="B168" s="1" t="s">
        <v>969</v>
      </c>
      <c r="C168" s="1"/>
      <c r="D168" s="1"/>
      <c r="E168" s="2"/>
      <c r="F168" s="1"/>
      <c r="G168" s="1"/>
      <c r="H168" s="1"/>
      <c r="I168" s="1"/>
      <c r="J168" s="1"/>
      <c r="K168" s="1"/>
      <c r="L168" s="4"/>
      <c r="M168" s="1"/>
      <c r="N168" s="3"/>
      <c r="O168" s="1"/>
      <c r="P168" s="3"/>
      <c r="Q168" s="1"/>
      <c r="R168" s="1"/>
      <c r="S168" s="1"/>
    </row>
    <row r="169" spans="2:19" ht="15.6" x14ac:dyDescent="0.3">
      <c r="B169" s="1" t="s">
        <v>970</v>
      </c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3"/>
      <c r="O169" s="1"/>
      <c r="P169" s="6"/>
      <c r="Q169" s="1"/>
      <c r="R169" s="1"/>
      <c r="S169" s="1"/>
    </row>
    <row r="170" spans="2:19" ht="15.6" x14ac:dyDescent="0.3">
      <c r="B170" s="1" t="s">
        <v>971</v>
      </c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3"/>
      <c r="O170" s="4"/>
      <c r="P170" s="1"/>
      <c r="Q170" s="1"/>
      <c r="R170" s="1"/>
      <c r="S170" s="1"/>
    </row>
    <row r="171" spans="2:19" ht="15.6" x14ac:dyDescent="0.3">
      <c r="B171" s="1" t="s">
        <v>972</v>
      </c>
      <c r="C171" s="1"/>
      <c r="D171" s="1"/>
      <c r="E171" s="2"/>
      <c r="F171" s="1"/>
      <c r="G171" s="1"/>
      <c r="H171" s="1"/>
      <c r="I171" s="1"/>
      <c r="J171" s="1"/>
      <c r="K171" s="1"/>
      <c r="L171" s="4"/>
      <c r="M171" s="1"/>
      <c r="N171" s="3"/>
      <c r="O171" s="1"/>
      <c r="P171" s="3"/>
      <c r="Q171" s="1"/>
      <c r="R171" s="1"/>
      <c r="S171" s="1"/>
    </row>
    <row r="172" spans="2:19" ht="15.6" x14ac:dyDescent="0.3">
      <c r="B172" s="1" t="s">
        <v>973</v>
      </c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3"/>
      <c r="O172" s="1"/>
      <c r="P172" s="3"/>
      <c r="Q172" s="1"/>
      <c r="R172" s="1"/>
      <c r="S172" s="1"/>
    </row>
    <row r="173" spans="2:19" ht="15.6" x14ac:dyDescent="0.3">
      <c r="B173" s="1" t="s">
        <v>974</v>
      </c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4"/>
      <c r="N173" s="3"/>
      <c r="O173" s="1"/>
      <c r="P173" s="3"/>
      <c r="Q173" s="1"/>
      <c r="R173" s="1"/>
      <c r="S173" s="1"/>
    </row>
    <row r="174" spans="2:19" ht="15.6" x14ac:dyDescent="0.3">
      <c r="B174" s="1" t="s">
        <v>975</v>
      </c>
      <c r="C174" s="1"/>
      <c r="D174" s="1"/>
      <c r="E174" s="2"/>
      <c r="F174" s="1"/>
      <c r="G174" s="1"/>
      <c r="H174" s="1"/>
      <c r="I174" s="1"/>
      <c r="J174" s="1"/>
      <c r="K174" s="1"/>
      <c r="L174" s="4"/>
      <c r="M174" s="1"/>
      <c r="N174" s="3"/>
      <c r="O174" s="1"/>
      <c r="P174" s="3"/>
      <c r="Q174" s="1"/>
      <c r="R174" s="1"/>
      <c r="S174" s="1"/>
    </row>
    <row r="175" spans="2:19" ht="15.6" x14ac:dyDescent="0.3">
      <c r="B175" s="1" t="s">
        <v>976</v>
      </c>
      <c r="C175" s="1"/>
      <c r="D175" s="1"/>
      <c r="E175" s="2"/>
      <c r="F175" s="1"/>
      <c r="G175" s="1"/>
      <c r="H175" s="1"/>
      <c r="I175" s="1"/>
      <c r="J175" s="4"/>
      <c r="K175" s="1"/>
      <c r="L175" s="1"/>
      <c r="M175" s="1"/>
      <c r="N175" s="3"/>
      <c r="O175" s="1"/>
      <c r="P175" s="3"/>
      <c r="Q175" s="1"/>
      <c r="R175" s="1"/>
      <c r="S175" s="1"/>
    </row>
    <row r="176" spans="2:19" ht="15.6" x14ac:dyDescent="0.3">
      <c r="B176" s="1" t="s">
        <v>977</v>
      </c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"/>
      <c r="Q176" s="1"/>
      <c r="R176" s="1"/>
      <c r="S176" s="1"/>
    </row>
    <row r="177" spans="2:19" ht="15.6" x14ac:dyDescent="0.3">
      <c r="B177" s="1" t="s">
        <v>978</v>
      </c>
      <c r="C177" s="1"/>
      <c r="D177" s="1"/>
      <c r="E177" s="2"/>
      <c r="F177" s="1"/>
      <c r="G177" s="1"/>
      <c r="H177" s="1"/>
      <c r="I177" s="1"/>
      <c r="J177" s="1"/>
      <c r="K177" s="1"/>
      <c r="L177" s="4"/>
      <c r="M177" s="1"/>
      <c r="N177" s="3"/>
      <c r="O177" s="1"/>
      <c r="P177" s="1"/>
      <c r="Q177" s="1"/>
      <c r="R177" s="1"/>
      <c r="S177" s="1"/>
    </row>
    <row r="178" spans="2:19" ht="15.6" x14ac:dyDescent="0.3">
      <c r="B178" s="1" t="s">
        <v>979</v>
      </c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3"/>
      <c r="O178" s="1"/>
      <c r="P178" s="3"/>
      <c r="Q178" s="1"/>
      <c r="R178" s="1"/>
      <c r="S178" s="1"/>
    </row>
    <row r="179" spans="2:19" ht="15.6" x14ac:dyDescent="0.3">
      <c r="B179" s="1" t="s">
        <v>980</v>
      </c>
      <c r="C179" s="1"/>
      <c r="D179" s="1"/>
      <c r="E179" s="2"/>
      <c r="F179" s="1"/>
      <c r="G179" s="1"/>
      <c r="H179" s="1"/>
      <c r="I179" s="1"/>
      <c r="J179" s="1"/>
      <c r="K179" s="1"/>
      <c r="L179" s="4"/>
      <c r="M179" s="1"/>
      <c r="N179" s="3"/>
      <c r="O179" s="1"/>
      <c r="P179" s="6"/>
      <c r="Q179" s="1"/>
      <c r="R179" s="1"/>
      <c r="S179" s="1"/>
    </row>
    <row r="180" spans="2:19" ht="15.6" x14ac:dyDescent="0.3">
      <c r="B180" s="1" t="s">
        <v>981</v>
      </c>
      <c r="C180" s="1"/>
      <c r="D180" s="1"/>
      <c r="E180" s="2"/>
      <c r="F180" s="1"/>
      <c r="G180" s="1"/>
      <c r="H180" s="1"/>
      <c r="I180" s="1"/>
      <c r="J180" s="1"/>
      <c r="K180" s="1"/>
      <c r="L180" s="4"/>
      <c r="M180" s="1"/>
      <c r="N180" s="3"/>
      <c r="O180" s="1"/>
      <c r="P180" s="6"/>
      <c r="Q180" s="1"/>
      <c r="R180" s="1"/>
      <c r="S180" s="1"/>
    </row>
    <row r="181" spans="2:19" ht="15.6" x14ac:dyDescent="0.3">
      <c r="B181" s="1" t="s">
        <v>982</v>
      </c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3"/>
      <c r="O181" s="1"/>
      <c r="P181" s="3"/>
      <c r="Q181" s="1"/>
      <c r="R181" s="1"/>
      <c r="S181" s="1"/>
    </row>
    <row r="182" spans="2:19" ht="15.6" x14ac:dyDescent="0.3">
      <c r="B182" s="1" t="s">
        <v>983</v>
      </c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3"/>
      <c r="O182" s="1"/>
      <c r="P182" s="3"/>
      <c r="Q182" s="1"/>
      <c r="R182" s="1"/>
      <c r="S182" s="1"/>
    </row>
    <row r="183" spans="2:19" ht="15.6" x14ac:dyDescent="0.3">
      <c r="B183" s="1" t="s">
        <v>984</v>
      </c>
      <c r="C183" s="1"/>
      <c r="D183" s="1"/>
      <c r="E183" s="2"/>
      <c r="F183" s="1"/>
      <c r="G183" s="1"/>
      <c r="H183" s="1"/>
      <c r="I183" s="1"/>
      <c r="J183" s="1"/>
      <c r="K183" s="1"/>
      <c r="L183" s="4"/>
      <c r="M183" s="1"/>
      <c r="N183" s="3"/>
      <c r="O183" s="4"/>
      <c r="P183" s="3"/>
      <c r="Q183" s="1"/>
      <c r="R183" s="1"/>
      <c r="S183" s="1"/>
    </row>
    <row r="184" spans="2:19" ht="15.6" x14ac:dyDescent="0.3">
      <c r="B184" s="1" t="s">
        <v>985</v>
      </c>
      <c r="C184" s="1"/>
      <c r="D184" s="1"/>
      <c r="E184" s="2"/>
      <c r="F184" s="1"/>
      <c r="G184" s="1"/>
      <c r="H184" s="1"/>
      <c r="I184" s="1"/>
      <c r="J184" s="1"/>
      <c r="K184" s="1"/>
      <c r="L184" s="4"/>
      <c r="M184" s="1"/>
      <c r="N184" s="3"/>
      <c r="O184" s="1"/>
      <c r="P184" s="3"/>
      <c r="Q184" s="1"/>
      <c r="R184" s="1"/>
      <c r="S184" s="1"/>
    </row>
    <row r="185" spans="2:19" ht="15.6" x14ac:dyDescent="0.3">
      <c r="B185" s="1" t="s">
        <v>986</v>
      </c>
      <c r="C185" s="1"/>
      <c r="D185" s="1"/>
      <c r="E185" s="2"/>
      <c r="F185" s="1"/>
      <c r="G185" s="1"/>
      <c r="H185" s="1"/>
      <c r="I185" s="1"/>
      <c r="J185" s="1"/>
      <c r="K185" s="1"/>
      <c r="L185" s="4"/>
      <c r="M185" s="4"/>
      <c r="N185" s="3"/>
      <c r="O185" s="1"/>
      <c r="P185" s="3"/>
      <c r="Q185" s="1"/>
      <c r="R185" s="1"/>
      <c r="S185" s="1"/>
    </row>
    <row r="186" spans="2:19" ht="15.6" x14ac:dyDescent="0.3">
      <c r="B186" s="1" t="s">
        <v>987</v>
      </c>
      <c r="C186" s="1"/>
      <c r="D186" s="1"/>
      <c r="E186" s="2"/>
      <c r="F186" s="1"/>
      <c r="G186" s="1"/>
      <c r="H186" s="1"/>
      <c r="I186" s="1"/>
      <c r="J186" s="1"/>
      <c r="K186" s="1"/>
      <c r="L186" s="4"/>
      <c r="M186" s="1"/>
      <c r="N186" s="3"/>
      <c r="O186" s="1"/>
      <c r="P186" s="3"/>
      <c r="Q186" s="1"/>
      <c r="R186" s="1"/>
      <c r="S186" s="1"/>
    </row>
    <row r="187" spans="2:19" ht="15.6" x14ac:dyDescent="0.3">
      <c r="B187" s="1" t="s">
        <v>988</v>
      </c>
      <c r="C187" s="1"/>
      <c r="D187" s="1"/>
      <c r="E187" s="2"/>
      <c r="F187" s="1"/>
      <c r="G187" s="1"/>
      <c r="H187" s="1"/>
      <c r="I187" s="1"/>
      <c r="J187" s="1"/>
      <c r="K187" s="1"/>
      <c r="L187" s="4"/>
      <c r="M187" s="1"/>
      <c r="N187" s="3"/>
      <c r="O187" s="1"/>
      <c r="P187" s="3"/>
      <c r="Q187" s="1"/>
      <c r="R187" s="1"/>
      <c r="S187" s="1"/>
    </row>
    <row r="188" spans="2:19" ht="15.6" x14ac:dyDescent="0.3">
      <c r="B188" s="1" t="s">
        <v>989</v>
      </c>
      <c r="C188" s="1"/>
      <c r="D188" s="1"/>
      <c r="E188" s="2"/>
      <c r="F188" s="1"/>
      <c r="G188" s="1"/>
      <c r="H188" s="1"/>
      <c r="I188" s="1"/>
      <c r="J188" s="4"/>
      <c r="K188" s="1"/>
      <c r="L188" s="4"/>
      <c r="M188" s="1"/>
      <c r="N188" s="3"/>
      <c r="O188" s="1"/>
      <c r="P188" s="3"/>
      <c r="Q188" s="1"/>
      <c r="R188" s="1"/>
      <c r="S188" s="1"/>
    </row>
    <row r="189" spans="2:19" ht="15.6" x14ac:dyDescent="0.3">
      <c r="B189" s="1" t="s">
        <v>990</v>
      </c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3"/>
      <c r="O189" s="1"/>
      <c r="P189" s="3"/>
      <c r="Q189" s="1"/>
      <c r="R189" s="1"/>
      <c r="S189" s="1"/>
    </row>
    <row r="190" spans="2:19" ht="15.6" x14ac:dyDescent="0.3">
      <c r="B190" s="1" t="s">
        <v>991</v>
      </c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3"/>
      <c r="O190" s="1"/>
      <c r="P190" s="3"/>
      <c r="Q190" s="1"/>
      <c r="R190" s="1"/>
      <c r="S190" s="1"/>
    </row>
    <row r="191" spans="2:19" ht="15.6" x14ac:dyDescent="0.3">
      <c r="B191" s="1" t="s">
        <v>992</v>
      </c>
      <c r="C191" s="1"/>
      <c r="D191" s="1"/>
      <c r="E191" s="2"/>
      <c r="F191" s="1"/>
      <c r="G191" s="1"/>
      <c r="H191" s="1"/>
      <c r="I191" s="1"/>
      <c r="J191" s="1"/>
      <c r="K191" s="1"/>
      <c r="L191" s="4"/>
      <c r="M191" s="1"/>
      <c r="N191" s="3"/>
      <c r="O191" s="1"/>
      <c r="P191" s="6"/>
      <c r="Q191" s="4"/>
      <c r="R191" s="1"/>
      <c r="S191" s="1"/>
    </row>
    <row r="192" spans="2:19" ht="15.6" x14ac:dyDescent="0.3">
      <c r="B192" s="1" t="s">
        <v>993</v>
      </c>
      <c r="C192" s="1"/>
      <c r="D192" s="1"/>
      <c r="E192" s="2"/>
      <c r="F192" s="1"/>
      <c r="G192" s="1"/>
      <c r="H192" s="1"/>
      <c r="I192" s="1"/>
      <c r="J192" s="1"/>
      <c r="K192" s="1"/>
      <c r="L192" s="4"/>
      <c r="M192" s="1"/>
      <c r="N192" s="3"/>
      <c r="O192" s="1"/>
      <c r="P192" s="3"/>
      <c r="Q192" s="1"/>
      <c r="R192" s="1"/>
      <c r="S192" s="1"/>
    </row>
    <row r="193" spans="2:19" ht="15.6" x14ac:dyDescent="0.3">
      <c r="B193" s="1" t="s">
        <v>994</v>
      </c>
      <c r="C193" s="1"/>
      <c r="D193" s="1"/>
      <c r="E193" s="2"/>
      <c r="F193" s="1"/>
      <c r="G193" s="1"/>
      <c r="H193" s="1"/>
      <c r="I193" s="1"/>
      <c r="J193" s="1"/>
      <c r="K193" s="1"/>
      <c r="L193" s="4"/>
      <c r="M193" s="1"/>
      <c r="N193" s="3"/>
      <c r="O193" s="1"/>
      <c r="P193" s="1"/>
      <c r="Q193" s="1"/>
      <c r="R193" s="1"/>
      <c r="S193" s="1"/>
    </row>
    <row r="194" spans="2:19" ht="15.6" x14ac:dyDescent="0.3">
      <c r="B194" s="1" t="s">
        <v>995</v>
      </c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3"/>
      <c r="O194" s="1"/>
      <c r="P194" s="3"/>
      <c r="Q194" s="1"/>
      <c r="R194" s="1"/>
      <c r="S194" s="1"/>
    </row>
    <row r="195" spans="2:19" ht="15.6" x14ac:dyDescent="0.3">
      <c r="B195" s="1" t="s">
        <v>996</v>
      </c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3"/>
      <c r="O195" s="1"/>
      <c r="P195" s="3"/>
      <c r="Q195" s="1"/>
      <c r="R195" s="1"/>
      <c r="S195" s="1"/>
    </row>
    <row r="196" spans="2:19" ht="15.6" x14ac:dyDescent="0.3">
      <c r="B196" s="1" t="s">
        <v>997</v>
      </c>
      <c r="C196" s="1"/>
      <c r="D196" s="1"/>
      <c r="E196" s="2"/>
      <c r="F196" s="1"/>
      <c r="G196" s="1"/>
      <c r="H196" s="1"/>
      <c r="I196" s="1"/>
      <c r="J196" s="1"/>
      <c r="K196" s="1"/>
      <c r="L196" s="4"/>
      <c r="M196" s="1"/>
      <c r="N196" s="3"/>
      <c r="O196" s="1"/>
      <c r="P196" s="3"/>
      <c r="Q196" s="1"/>
      <c r="R196" s="1"/>
      <c r="S196" s="1"/>
    </row>
    <row r="197" spans="2:19" ht="15.6" x14ac:dyDescent="0.3">
      <c r="B197" s="1" t="s">
        <v>998</v>
      </c>
      <c r="C197" s="1"/>
      <c r="D197" s="1"/>
      <c r="E197" s="2"/>
      <c r="F197" s="1"/>
      <c r="G197" s="1"/>
      <c r="H197" s="1"/>
      <c r="I197" s="1"/>
      <c r="J197" s="1"/>
      <c r="K197" s="1"/>
      <c r="L197" s="4"/>
      <c r="M197" s="1"/>
      <c r="N197" s="3"/>
      <c r="O197" s="1"/>
      <c r="P197" s="3"/>
      <c r="Q197" s="4"/>
      <c r="R197" s="1"/>
      <c r="S197" s="1"/>
    </row>
    <row r="198" spans="2:19" ht="15.6" x14ac:dyDescent="0.3">
      <c r="B198" s="1" t="s">
        <v>999</v>
      </c>
      <c r="C198" s="1"/>
      <c r="D198" s="1"/>
      <c r="E198" s="2"/>
      <c r="F198" s="1"/>
      <c r="G198" s="1"/>
      <c r="H198" s="1"/>
      <c r="I198" s="1"/>
      <c r="J198" s="1"/>
      <c r="K198" s="1"/>
      <c r="L198" s="4"/>
      <c r="M198" s="1"/>
      <c r="N198" s="3"/>
      <c r="O198" s="1"/>
      <c r="P198" s="3"/>
      <c r="Q198" s="1"/>
      <c r="R198" s="1"/>
      <c r="S198" s="1"/>
    </row>
    <row r="199" spans="2:19" ht="15.6" x14ac:dyDescent="0.3">
      <c r="B199" s="1" t="s">
        <v>1000</v>
      </c>
      <c r="C199" s="1"/>
      <c r="D199" s="1"/>
      <c r="E199" s="2"/>
      <c r="F199" s="1"/>
      <c r="G199" s="1"/>
      <c r="H199" s="1"/>
      <c r="I199" s="1"/>
      <c r="J199" s="1"/>
      <c r="K199" s="1"/>
      <c r="L199" s="4"/>
      <c r="M199" s="1"/>
      <c r="N199" s="3"/>
      <c r="O199" s="1"/>
      <c r="P199" s="3"/>
      <c r="Q199" s="1"/>
      <c r="R199" s="1"/>
      <c r="S199" s="1"/>
    </row>
    <row r="200" spans="2:19" ht="15.6" x14ac:dyDescent="0.3">
      <c r="B200" s="1" t="s">
        <v>1001</v>
      </c>
      <c r="C200" s="1"/>
      <c r="D200" s="1"/>
      <c r="E200" s="2"/>
      <c r="F200" s="1"/>
      <c r="G200" s="1"/>
      <c r="H200" s="1"/>
      <c r="I200" s="1"/>
      <c r="J200" s="1"/>
      <c r="K200" s="1"/>
      <c r="L200" s="4"/>
      <c r="M200" s="1"/>
      <c r="N200" s="3"/>
      <c r="O200" s="1"/>
      <c r="P200" s="3"/>
      <c r="Q200" s="1"/>
      <c r="R200" s="1"/>
      <c r="S200" s="1"/>
    </row>
    <row r="201" spans="2:19" ht="15.6" x14ac:dyDescent="0.3">
      <c r="B201" s="1" t="s">
        <v>1002</v>
      </c>
      <c r="C201" s="1"/>
      <c r="D201" s="1"/>
      <c r="E201" s="2"/>
      <c r="F201" s="1"/>
      <c r="G201" s="1"/>
      <c r="H201" s="1"/>
      <c r="I201" s="1"/>
      <c r="J201" s="1"/>
      <c r="K201" s="1"/>
      <c r="L201" s="4"/>
      <c r="M201" s="1"/>
      <c r="N201" s="3"/>
      <c r="O201" s="1"/>
      <c r="P201" s="3"/>
      <c r="Q201" s="4"/>
      <c r="R201" s="1"/>
      <c r="S201" s="1"/>
    </row>
    <row r="202" spans="2:19" ht="15.6" x14ac:dyDescent="0.3">
      <c r="B202" s="1" t="s">
        <v>1003</v>
      </c>
      <c r="C202" s="1"/>
      <c r="D202" s="1"/>
      <c r="E202" s="2"/>
      <c r="F202" s="1"/>
      <c r="G202" s="1"/>
      <c r="H202" s="1"/>
      <c r="I202" s="1"/>
      <c r="J202" s="1"/>
      <c r="K202" s="1"/>
      <c r="L202" s="4"/>
      <c r="M202" s="4"/>
      <c r="N202" s="1"/>
      <c r="O202" s="1"/>
      <c r="P202" s="3"/>
      <c r="Q202" s="1"/>
      <c r="R202" s="1"/>
      <c r="S202" s="1"/>
    </row>
    <row r="203" spans="2:19" ht="15.6" x14ac:dyDescent="0.3">
      <c r="B203" s="1" t="s">
        <v>1004</v>
      </c>
      <c r="C203" s="1"/>
      <c r="D203" s="1"/>
      <c r="E203" s="2"/>
      <c r="F203" s="1"/>
      <c r="G203" s="1"/>
      <c r="H203" s="1"/>
      <c r="I203" s="4"/>
      <c r="J203" s="1"/>
      <c r="K203" s="1"/>
      <c r="L203" s="1"/>
      <c r="M203" s="1"/>
      <c r="N203" s="3"/>
      <c r="O203" s="1"/>
      <c r="P203" s="3"/>
      <c r="Q203" s="1"/>
      <c r="R203" s="1"/>
      <c r="S203" s="1"/>
    </row>
    <row r="204" spans="2:19" ht="15.6" x14ac:dyDescent="0.3">
      <c r="B204" s="1" t="s">
        <v>1005</v>
      </c>
      <c r="C204" s="1"/>
      <c r="D204" s="1"/>
      <c r="E204" s="2"/>
      <c r="F204" s="1"/>
      <c r="G204" s="1"/>
      <c r="H204" s="1"/>
      <c r="I204" s="1"/>
      <c r="J204" s="1"/>
      <c r="K204" s="1"/>
      <c r="L204" s="4"/>
      <c r="M204" s="1"/>
      <c r="N204" s="3"/>
      <c r="O204" s="1"/>
      <c r="P204" s="1"/>
      <c r="Q204" s="1"/>
      <c r="R204" s="1"/>
      <c r="S204" s="1"/>
    </row>
    <row r="205" spans="2:19" ht="15.6" x14ac:dyDescent="0.3">
      <c r="B205" s="1" t="s">
        <v>1006</v>
      </c>
      <c r="C205" s="1"/>
      <c r="D205" s="1"/>
      <c r="E205" s="2"/>
      <c r="F205" s="1"/>
      <c r="G205" s="1"/>
      <c r="H205" s="1"/>
      <c r="I205" s="1"/>
      <c r="J205" s="1"/>
      <c r="K205" s="1"/>
      <c r="L205" s="4"/>
      <c r="M205" s="1"/>
      <c r="N205" s="3"/>
      <c r="O205" s="1"/>
      <c r="P205" s="3"/>
      <c r="Q205" s="1"/>
      <c r="R205" s="1"/>
      <c r="S205" s="1"/>
    </row>
    <row r="206" spans="2:19" ht="15.6" x14ac:dyDescent="0.3">
      <c r="B206" s="1" t="s">
        <v>1007</v>
      </c>
      <c r="C206" s="1"/>
      <c r="D206" s="1"/>
      <c r="E206" s="2"/>
      <c r="F206" s="1"/>
      <c r="G206" s="1"/>
      <c r="H206" s="1"/>
      <c r="I206" s="1"/>
      <c r="J206" s="1"/>
      <c r="K206" s="1"/>
      <c r="L206" s="4"/>
      <c r="M206" s="1"/>
      <c r="N206" s="3"/>
      <c r="O206" s="1"/>
      <c r="P206" s="3"/>
      <c r="Q206" s="1"/>
      <c r="R206" s="1"/>
      <c r="S206" s="1"/>
    </row>
    <row r="207" spans="2:19" ht="15.6" x14ac:dyDescent="0.3">
      <c r="B207" s="1" t="s">
        <v>1008</v>
      </c>
      <c r="C207" s="1"/>
      <c r="D207" s="1"/>
      <c r="E207" s="2"/>
      <c r="F207" s="1"/>
      <c r="G207" s="1"/>
      <c r="H207" s="1"/>
      <c r="I207" s="1"/>
      <c r="J207" s="1"/>
      <c r="K207" s="1"/>
      <c r="L207" s="4"/>
      <c r="M207" s="1"/>
      <c r="N207" s="3"/>
      <c r="O207" s="1"/>
      <c r="P207" s="3"/>
      <c r="Q207" s="1"/>
      <c r="R207" s="1"/>
      <c r="S207" s="1"/>
    </row>
    <row r="208" spans="2:19" ht="15.6" x14ac:dyDescent="0.3">
      <c r="B208" s="1" t="s">
        <v>1009</v>
      </c>
      <c r="C208" s="1"/>
      <c r="D208" s="1"/>
      <c r="E208" s="2"/>
      <c r="F208" s="1"/>
      <c r="G208" s="1"/>
      <c r="H208" s="1"/>
      <c r="I208" s="1"/>
      <c r="J208" s="1"/>
      <c r="K208" s="1"/>
      <c r="L208" s="4"/>
      <c r="M208" s="1"/>
      <c r="N208" s="3"/>
      <c r="O208" s="1"/>
      <c r="P208" s="3"/>
      <c r="Q208" s="1"/>
      <c r="R208" s="1"/>
      <c r="S208" s="1"/>
    </row>
    <row r="209" spans="2:19" ht="15.6" x14ac:dyDescent="0.3">
      <c r="B209" s="1" t="s">
        <v>1010</v>
      </c>
      <c r="C209" s="1"/>
      <c r="D209" s="1"/>
      <c r="E209" s="2"/>
      <c r="F209" s="1"/>
      <c r="G209" s="1"/>
      <c r="H209" s="1"/>
      <c r="I209" s="1"/>
      <c r="J209" s="1"/>
      <c r="K209" s="1"/>
      <c r="L209" s="4"/>
      <c r="M209" s="1"/>
      <c r="N209" s="1"/>
      <c r="O209" s="1"/>
      <c r="P209" s="3"/>
      <c r="Q209" s="1"/>
      <c r="R209" s="1"/>
      <c r="S209" s="1"/>
    </row>
    <row r="210" spans="2:19" ht="15.6" x14ac:dyDescent="0.3">
      <c r="B210" s="1" t="s">
        <v>1011</v>
      </c>
      <c r="C210" s="1"/>
      <c r="D210" s="1"/>
      <c r="E210" s="2"/>
      <c r="F210" s="1"/>
      <c r="G210" s="1"/>
      <c r="H210" s="1"/>
      <c r="I210" s="1"/>
      <c r="J210" s="1"/>
      <c r="K210" s="1"/>
      <c r="L210" s="4"/>
      <c r="M210" s="1"/>
      <c r="N210" s="3"/>
      <c r="O210" s="1"/>
      <c r="P210" s="3"/>
      <c r="Q210" s="1"/>
      <c r="R210" s="1"/>
      <c r="S210" s="1"/>
    </row>
    <row r="211" spans="2:19" ht="15.6" x14ac:dyDescent="0.3">
      <c r="B211" s="1" t="s">
        <v>1012</v>
      </c>
      <c r="C211" s="1"/>
      <c r="D211" s="1"/>
      <c r="E211" s="2"/>
      <c r="F211" s="1"/>
      <c r="G211" s="1"/>
      <c r="H211" s="1"/>
      <c r="I211" s="1"/>
      <c r="J211" s="1"/>
      <c r="K211" s="1"/>
      <c r="L211" s="4"/>
      <c r="M211" s="1"/>
      <c r="N211" s="3"/>
      <c r="O211" s="1"/>
      <c r="P211" s="6"/>
      <c r="Q211" s="1"/>
      <c r="R211" s="1"/>
      <c r="S211" s="1"/>
    </row>
    <row r="212" spans="2:19" ht="15.6" x14ac:dyDescent="0.3">
      <c r="B212" s="1" t="s">
        <v>1013</v>
      </c>
      <c r="C212" s="1"/>
      <c r="D212" s="1"/>
      <c r="E212" s="2"/>
      <c r="F212" s="1"/>
      <c r="G212" s="1"/>
      <c r="H212" s="1"/>
      <c r="I212" s="1"/>
      <c r="J212" s="1"/>
      <c r="K212" s="1"/>
      <c r="L212" s="4"/>
      <c r="M212" s="1"/>
      <c r="N212" s="3"/>
      <c r="O212" s="1"/>
      <c r="P212" s="6"/>
      <c r="Q212" s="1"/>
      <c r="R212" s="1"/>
      <c r="S212" s="1"/>
    </row>
    <row r="213" spans="2:19" ht="15.6" x14ac:dyDescent="0.3">
      <c r="B213" s="1" t="s">
        <v>1014</v>
      </c>
      <c r="C213" s="1"/>
      <c r="D213" s="1"/>
      <c r="E213" s="2"/>
      <c r="F213" s="1"/>
      <c r="G213" s="1"/>
      <c r="H213" s="1"/>
      <c r="I213" s="1"/>
      <c r="J213" s="1"/>
      <c r="K213" s="1"/>
      <c r="L213" s="4"/>
      <c r="M213" s="1"/>
      <c r="N213" s="3"/>
      <c r="O213" s="1"/>
      <c r="P213" s="3"/>
      <c r="Q213" s="1"/>
      <c r="R213" s="1"/>
      <c r="S213" s="1"/>
    </row>
    <row r="214" spans="2:19" ht="15.6" x14ac:dyDescent="0.3">
      <c r="B214" s="1" t="s">
        <v>1015</v>
      </c>
      <c r="C214" s="1"/>
      <c r="D214" s="1"/>
      <c r="E214" s="2"/>
      <c r="F214" s="1"/>
      <c r="G214" s="1"/>
      <c r="H214" s="1"/>
      <c r="I214" s="1"/>
      <c r="J214" s="1"/>
      <c r="K214" s="1"/>
      <c r="L214" s="4"/>
      <c r="M214" s="1"/>
      <c r="N214" s="3"/>
      <c r="O214" s="1"/>
      <c r="P214" s="3"/>
      <c r="Q214" s="1"/>
      <c r="R214" s="1"/>
      <c r="S214" s="1"/>
    </row>
    <row r="215" spans="2:19" ht="15.6" x14ac:dyDescent="0.3">
      <c r="B215" s="1" t="s">
        <v>1016</v>
      </c>
      <c r="C215" s="1"/>
      <c r="D215" s="1"/>
      <c r="E215" s="2"/>
      <c r="F215" s="1"/>
      <c r="G215" s="1"/>
      <c r="H215" s="1"/>
      <c r="I215" s="1"/>
      <c r="J215" s="1"/>
      <c r="K215" s="1"/>
      <c r="L215" s="4"/>
      <c r="M215" s="1"/>
      <c r="N215" s="3"/>
      <c r="O215" s="1"/>
      <c r="P215" s="3"/>
      <c r="Q215" s="1"/>
      <c r="R215" s="1"/>
      <c r="S215" s="1"/>
    </row>
    <row r="216" spans="2:19" ht="15.6" x14ac:dyDescent="0.3">
      <c r="B216" s="1" t="s">
        <v>1017</v>
      </c>
      <c r="C216" s="1"/>
      <c r="D216" s="1"/>
      <c r="E216" s="2"/>
      <c r="F216" s="1"/>
      <c r="G216" s="1"/>
      <c r="H216" s="1"/>
      <c r="I216" s="1"/>
      <c r="J216" s="1"/>
      <c r="K216" s="1"/>
      <c r="L216" s="4"/>
      <c r="M216" s="1"/>
      <c r="N216" s="3"/>
      <c r="O216" s="1"/>
      <c r="P216" s="3"/>
      <c r="Q216" s="1"/>
      <c r="R216" s="1"/>
      <c r="S216" s="1"/>
    </row>
    <row r="217" spans="2:19" ht="15.6" x14ac:dyDescent="0.3">
      <c r="B217" s="1" t="s">
        <v>1018</v>
      </c>
      <c r="C217" s="1"/>
      <c r="D217" s="1"/>
      <c r="E217" s="2"/>
      <c r="F217" s="1"/>
      <c r="G217" s="1"/>
      <c r="H217" s="1"/>
      <c r="I217" s="1"/>
      <c r="J217" s="1"/>
      <c r="K217" s="1"/>
      <c r="L217" s="4"/>
      <c r="M217" s="1"/>
      <c r="N217" s="3"/>
      <c r="O217" s="1"/>
      <c r="P217" s="3"/>
      <c r="Q217" s="1"/>
      <c r="R217" s="1"/>
      <c r="S217" s="1"/>
    </row>
    <row r="218" spans="2:19" ht="15.6" x14ac:dyDescent="0.3">
      <c r="B218" s="1" t="s">
        <v>1019</v>
      </c>
      <c r="C218" s="1"/>
      <c r="D218" s="1"/>
      <c r="E218" s="2"/>
      <c r="F218" s="1"/>
      <c r="G218" s="1"/>
      <c r="H218" s="1"/>
      <c r="I218" s="1"/>
      <c r="J218" s="1"/>
      <c r="K218" s="1"/>
      <c r="L218" s="4"/>
      <c r="M218" s="1"/>
      <c r="N218" s="1"/>
      <c r="O218" s="1"/>
      <c r="P218" s="3"/>
      <c r="Q218" s="1"/>
      <c r="R218" s="1"/>
      <c r="S218" s="1"/>
    </row>
    <row r="219" spans="2:19" ht="15.6" x14ac:dyDescent="0.3">
      <c r="B219" s="1" t="s">
        <v>1020</v>
      </c>
      <c r="C219" s="1"/>
      <c r="D219" s="1"/>
      <c r="E219" s="2"/>
      <c r="F219" s="1"/>
      <c r="G219" s="1"/>
      <c r="H219" s="1"/>
      <c r="I219" s="1"/>
      <c r="J219" s="1"/>
      <c r="K219" s="1"/>
      <c r="L219" s="4"/>
      <c r="M219" s="1"/>
      <c r="N219" s="3"/>
      <c r="O219" s="1"/>
      <c r="P219" s="3"/>
      <c r="Q219" s="1"/>
      <c r="R219" s="1"/>
      <c r="S219" s="1"/>
    </row>
    <row r="220" spans="2:19" ht="15.6" x14ac:dyDescent="0.3">
      <c r="B220" s="1" t="s">
        <v>1021</v>
      </c>
      <c r="C220" s="1"/>
      <c r="D220" s="1"/>
      <c r="E220" s="2"/>
      <c r="F220" s="1"/>
      <c r="G220" s="1"/>
      <c r="H220" s="1"/>
      <c r="I220" s="1"/>
      <c r="J220" s="1"/>
      <c r="K220" s="1"/>
      <c r="L220" s="4"/>
      <c r="M220" s="1"/>
      <c r="N220" s="3"/>
      <c r="O220" s="1"/>
      <c r="P220" s="3"/>
      <c r="Q220" s="1"/>
      <c r="R220" s="1"/>
      <c r="S220" s="1"/>
    </row>
    <row r="221" spans="2:19" ht="15.6" x14ac:dyDescent="0.3">
      <c r="B221" s="1" t="s">
        <v>1022</v>
      </c>
      <c r="C221" s="1"/>
      <c r="D221" s="1"/>
      <c r="E221" s="2"/>
      <c r="F221" s="1"/>
      <c r="G221" s="1"/>
      <c r="H221" s="1"/>
      <c r="I221" s="1"/>
      <c r="J221" s="1"/>
      <c r="K221" s="1"/>
      <c r="L221" s="4"/>
      <c r="M221" s="1"/>
      <c r="N221" s="1"/>
      <c r="O221" s="1"/>
      <c r="P221" s="3"/>
      <c r="Q221" s="4"/>
      <c r="R221" s="1"/>
      <c r="S221" s="1"/>
    </row>
    <row r="222" spans="2:19" ht="15.6" x14ac:dyDescent="0.3">
      <c r="B222" s="1" t="s">
        <v>1023</v>
      </c>
      <c r="C222" s="1"/>
      <c r="D222" s="1"/>
      <c r="E222" s="2"/>
      <c r="F222" s="1"/>
      <c r="G222" s="1"/>
      <c r="H222" s="1"/>
      <c r="I222" s="1"/>
      <c r="J222" s="1"/>
      <c r="K222" s="1"/>
      <c r="L222" s="4"/>
      <c r="M222" s="1"/>
      <c r="N222" s="3"/>
      <c r="O222" s="1"/>
      <c r="P222" s="3"/>
      <c r="Q222" s="1"/>
      <c r="R222" s="1"/>
      <c r="S222" s="1"/>
    </row>
    <row r="223" spans="2:19" ht="15.6" x14ac:dyDescent="0.3">
      <c r="B223" s="1" t="s">
        <v>1024</v>
      </c>
      <c r="C223" s="1"/>
      <c r="D223" s="1"/>
      <c r="E223" s="2"/>
      <c r="F223" s="1"/>
      <c r="G223" s="1"/>
      <c r="H223" s="1"/>
      <c r="I223" s="1"/>
      <c r="J223" s="1"/>
      <c r="K223" s="1"/>
      <c r="L223" s="4"/>
      <c r="M223" s="1"/>
      <c r="N223" s="3"/>
      <c r="O223" s="1"/>
      <c r="P223" s="3"/>
      <c r="Q223" s="4"/>
      <c r="R223" s="1"/>
      <c r="S223" s="1"/>
    </row>
    <row r="224" spans="2:19" ht="15.6" x14ac:dyDescent="0.3">
      <c r="B224" s="1" t="s">
        <v>1025</v>
      </c>
      <c r="C224" s="1"/>
      <c r="D224" s="1"/>
      <c r="E224" s="2"/>
      <c r="F224" s="1"/>
      <c r="G224" s="1"/>
      <c r="H224" s="1"/>
      <c r="I224" s="1"/>
      <c r="J224" s="1"/>
      <c r="K224" s="1"/>
      <c r="L224" s="4"/>
      <c r="M224" s="1"/>
      <c r="N224" s="3"/>
      <c r="O224" s="1"/>
      <c r="P224" s="3"/>
      <c r="Q224" s="1"/>
      <c r="R224" s="1"/>
      <c r="S224" s="1"/>
    </row>
    <row r="225" spans="2:19" ht="15.6" x14ac:dyDescent="0.3">
      <c r="B225" s="1" t="s">
        <v>1026</v>
      </c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3"/>
      <c r="O225" s="1"/>
      <c r="P225" s="3"/>
      <c r="Q225" s="1"/>
      <c r="R225" s="1"/>
      <c r="S225" s="1"/>
    </row>
    <row r="226" spans="2:19" ht="15.6" x14ac:dyDescent="0.3">
      <c r="B226" s="1" t="s">
        <v>1027</v>
      </c>
      <c r="C226" s="1"/>
      <c r="D226" s="1"/>
      <c r="E226" s="2"/>
      <c r="F226" s="1"/>
      <c r="G226" s="1"/>
      <c r="H226" s="1"/>
      <c r="I226" s="1"/>
      <c r="J226" s="1"/>
      <c r="K226" s="1"/>
      <c r="L226" s="4"/>
      <c r="M226" s="1"/>
      <c r="N226" s="1"/>
      <c r="O226" s="1"/>
      <c r="P226" s="3"/>
      <c r="Q226" s="1"/>
      <c r="R226" s="1"/>
      <c r="S226" s="1"/>
    </row>
    <row r="227" spans="2:19" ht="15.6" x14ac:dyDescent="0.3">
      <c r="B227" s="1" t="s">
        <v>1028</v>
      </c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3"/>
      <c r="O227" s="4"/>
      <c r="P227" s="3"/>
      <c r="Q227" s="1"/>
      <c r="R227" s="1"/>
      <c r="S227" s="1"/>
    </row>
    <row r="228" spans="2:19" ht="15.6" x14ac:dyDescent="0.3">
      <c r="B228" s="1" t="s">
        <v>1029</v>
      </c>
      <c r="C228" s="1"/>
      <c r="D228" s="1"/>
      <c r="E228" s="2"/>
      <c r="F228" s="1"/>
      <c r="G228" s="1"/>
      <c r="H228" s="1"/>
      <c r="I228" s="1"/>
      <c r="J228" s="1"/>
      <c r="K228" s="4"/>
      <c r="L228" s="4"/>
      <c r="M228" s="1"/>
      <c r="N228" s="3"/>
      <c r="O228" s="1"/>
      <c r="P228" s="3"/>
      <c r="Q228" s="4"/>
      <c r="R228" s="1"/>
      <c r="S228" s="1"/>
    </row>
    <row r="229" spans="2:19" ht="15.6" x14ac:dyDescent="0.3">
      <c r="B229" s="1" t="s">
        <v>1030</v>
      </c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3"/>
      <c r="O229" s="1"/>
      <c r="P229" s="6"/>
      <c r="Q229" s="1"/>
      <c r="R229" s="1"/>
      <c r="S229" s="1"/>
    </row>
    <row r="230" spans="2:19" ht="15.6" x14ac:dyDescent="0.3">
      <c r="B230" s="1" t="s">
        <v>1031</v>
      </c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3"/>
      <c r="O230" s="1"/>
      <c r="P230" s="3"/>
      <c r="Q230" s="1"/>
      <c r="R230" s="1"/>
      <c r="S230" s="1"/>
    </row>
    <row r="231" spans="2:19" ht="15.6" x14ac:dyDescent="0.3">
      <c r="B231" s="1" t="s">
        <v>1032</v>
      </c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3"/>
      <c r="O231" s="1"/>
      <c r="P231" s="3"/>
      <c r="Q231" s="1"/>
      <c r="R231" s="1"/>
      <c r="S231" s="1"/>
    </row>
    <row r="232" spans="2:19" ht="15.6" x14ac:dyDescent="0.3">
      <c r="B232" s="1" t="s">
        <v>1033</v>
      </c>
      <c r="C232" s="1"/>
      <c r="D232" s="1"/>
      <c r="E232" s="2"/>
      <c r="F232" s="1"/>
      <c r="G232" s="1"/>
      <c r="H232" s="1"/>
      <c r="I232" s="1"/>
      <c r="J232" s="1"/>
      <c r="K232" s="1"/>
      <c r="L232" s="4"/>
      <c r="M232" s="1"/>
      <c r="N232" s="3"/>
      <c r="O232" s="1"/>
      <c r="P232" s="3"/>
      <c r="Q232" s="1"/>
      <c r="R232" s="1"/>
      <c r="S232" s="1"/>
    </row>
    <row r="233" spans="2:19" ht="15.6" x14ac:dyDescent="0.3">
      <c r="B233" s="1" t="s">
        <v>1034</v>
      </c>
      <c r="C233" s="1"/>
      <c r="D233" s="1"/>
      <c r="E233" s="2"/>
      <c r="F233" s="1"/>
      <c r="G233" s="1"/>
      <c r="H233" s="1"/>
      <c r="I233" s="1"/>
      <c r="J233" s="1"/>
      <c r="K233" s="1"/>
      <c r="L233" s="4"/>
      <c r="M233" s="1"/>
      <c r="N233" s="3"/>
      <c r="O233" s="1"/>
      <c r="P233" s="3"/>
      <c r="Q233" s="1"/>
      <c r="R233" s="1"/>
      <c r="S233" s="1"/>
    </row>
    <row r="234" spans="2:19" ht="15.6" x14ac:dyDescent="0.3">
      <c r="B234" s="1" t="s">
        <v>1035</v>
      </c>
      <c r="C234" s="1"/>
      <c r="D234" s="1"/>
      <c r="E234" s="2"/>
      <c r="F234" s="1"/>
      <c r="G234" s="1"/>
      <c r="H234" s="1"/>
      <c r="I234" s="1"/>
      <c r="J234" s="1"/>
      <c r="K234" s="1"/>
      <c r="L234" s="4"/>
      <c r="M234" s="1"/>
      <c r="N234" s="3"/>
      <c r="O234" s="1"/>
      <c r="P234" s="3"/>
      <c r="Q234" s="1"/>
      <c r="R234" s="1"/>
      <c r="S234" s="1"/>
    </row>
    <row r="235" spans="2:19" ht="15.6" x14ac:dyDescent="0.3">
      <c r="B235" s="1" t="s">
        <v>1036</v>
      </c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3"/>
      <c r="O235" s="1"/>
      <c r="P235" s="3"/>
      <c r="Q235" s="1"/>
      <c r="R235" s="1"/>
      <c r="S235" s="1"/>
    </row>
    <row r="236" spans="2:19" ht="15.6" x14ac:dyDescent="0.3">
      <c r="B236" s="1" t="s">
        <v>1037</v>
      </c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3"/>
      <c r="O236" s="1"/>
      <c r="P236" s="3"/>
      <c r="Q236" s="1"/>
      <c r="R236" s="1"/>
      <c r="S236" s="1"/>
    </row>
    <row r="237" spans="2:19" ht="15.6" x14ac:dyDescent="0.3">
      <c r="B237" s="1" t="s">
        <v>1038</v>
      </c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3"/>
      <c r="O237" s="1"/>
      <c r="P237" s="3"/>
      <c r="Q237" s="1"/>
      <c r="R237" s="1"/>
      <c r="S237" s="1"/>
    </row>
    <row r="238" spans="2:19" ht="15.6" x14ac:dyDescent="0.3">
      <c r="B238" s="1" t="s">
        <v>1039</v>
      </c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3"/>
      <c r="O238" s="1"/>
      <c r="P238" s="3"/>
      <c r="Q238" s="1"/>
      <c r="R238" s="1"/>
      <c r="S238" s="1"/>
    </row>
    <row r="239" spans="2:19" ht="15.6" x14ac:dyDescent="0.3">
      <c r="B239" s="1" t="s">
        <v>1040</v>
      </c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3"/>
      <c r="O239" s="1"/>
      <c r="P239" s="3"/>
      <c r="Q239" s="1"/>
      <c r="R239" s="1"/>
      <c r="S239" s="1"/>
    </row>
    <row r="240" spans="2:19" ht="15.6" x14ac:dyDescent="0.3">
      <c r="B240" s="1" t="s">
        <v>1041</v>
      </c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3"/>
      <c r="O240" s="1"/>
      <c r="P240" s="3"/>
      <c r="Q240" s="1"/>
      <c r="R240" s="1"/>
      <c r="S240" s="1"/>
    </row>
    <row r="241" spans="2:19" ht="15.6" x14ac:dyDescent="0.3">
      <c r="B241" s="1" t="s">
        <v>1042</v>
      </c>
      <c r="C241" s="1"/>
      <c r="D241" s="1"/>
      <c r="E241" s="2"/>
      <c r="F241" s="1"/>
      <c r="G241" s="1"/>
      <c r="H241" s="1"/>
      <c r="I241" s="1"/>
      <c r="J241" s="4"/>
      <c r="K241" s="4"/>
      <c r="L241" s="1"/>
      <c r="M241" s="1"/>
      <c r="N241" s="3"/>
      <c r="O241" s="1"/>
      <c r="P241" s="3"/>
      <c r="Q241" s="4"/>
      <c r="R241" s="1"/>
      <c r="S241" s="1"/>
    </row>
    <row r="242" spans="2:19" ht="15.6" x14ac:dyDescent="0.3">
      <c r="B242" s="1" t="s">
        <v>1043</v>
      </c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3"/>
      <c r="O242" s="1"/>
      <c r="P242" s="3"/>
      <c r="Q242" s="1"/>
      <c r="R242" s="1"/>
      <c r="S242" s="1"/>
    </row>
    <row r="243" spans="2:19" ht="15.6" x14ac:dyDescent="0.3">
      <c r="B243" s="1" t="s">
        <v>1044</v>
      </c>
      <c r="C243" s="1"/>
      <c r="D243" s="1"/>
      <c r="E243" s="2"/>
      <c r="F243" s="1"/>
      <c r="G243" s="1"/>
      <c r="H243" s="1"/>
      <c r="I243" s="1"/>
      <c r="J243" s="1"/>
      <c r="K243" s="4"/>
      <c r="L243" s="1"/>
      <c r="M243" s="4"/>
      <c r="N243" s="3"/>
      <c r="O243" s="1"/>
      <c r="P243" s="3"/>
      <c r="Q243" s="1"/>
      <c r="R243" s="1"/>
      <c r="S243" s="1"/>
    </row>
    <row r="244" spans="2:19" ht="15.6" x14ac:dyDescent="0.3">
      <c r="B244" s="1" t="s">
        <v>1045</v>
      </c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3"/>
      <c r="O244" s="4"/>
      <c r="P244" s="3"/>
      <c r="Q244" s="1"/>
      <c r="R244" s="1"/>
      <c r="S244" s="1"/>
    </row>
    <row r="245" spans="2:19" ht="15.6" x14ac:dyDescent="0.3">
      <c r="B245" s="1" t="s">
        <v>1046</v>
      </c>
      <c r="C245" s="1"/>
      <c r="D245" s="1"/>
      <c r="E245" s="2"/>
      <c r="F245" s="1"/>
      <c r="G245" s="1"/>
      <c r="H245" s="1"/>
      <c r="I245" s="1"/>
      <c r="J245" s="1"/>
      <c r="K245" s="4"/>
      <c r="L245" s="4"/>
      <c r="M245" s="1"/>
      <c r="N245" s="3"/>
      <c r="O245" s="1"/>
      <c r="P245" s="3"/>
      <c r="Q245" s="4"/>
      <c r="R245" s="1"/>
      <c r="S245" s="1"/>
    </row>
    <row r="246" spans="2:19" ht="15.6" x14ac:dyDescent="0.3">
      <c r="B246" s="1" t="s">
        <v>1047</v>
      </c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3"/>
      <c r="O246" s="1"/>
      <c r="P246" s="6"/>
      <c r="Q246" s="1"/>
      <c r="R246" s="1"/>
      <c r="S246" s="1"/>
    </row>
    <row r="247" spans="2:19" ht="15.6" x14ac:dyDescent="0.3">
      <c r="B247" s="1" t="s">
        <v>1048</v>
      </c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3"/>
      <c r="O247" s="1"/>
      <c r="P247" s="3"/>
      <c r="Q247" s="1"/>
      <c r="R247" s="1"/>
      <c r="S247" s="1"/>
    </row>
    <row r="248" spans="2:19" ht="15.6" x14ac:dyDescent="0.3">
      <c r="B248" s="1" t="s">
        <v>1049</v>
      </c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3"/>
      <c r="O248" s="1"/>
      <c r="P248" s="3"/>
      <c r="Q248" s="1"/>
      <c r="R248" s="1"/>
      <c r="S248" s="1"/>
    </row>
    <row r="249" spans="2:19" ht="15.6" x14ac:dyDescent="0.3">
      <c r="B249" s="1" t="s">
        <v>1050</v>
      </c>
      <c r="C249" s="1"/>
      <c r="D249" s="1"/>
      <c r="E249" s="2"/>
      <c r="F249" s="1"/>
      <c r="G249" s="1"/>
      <c r="H249" s="1"/>
      <c r="I249" s="1"/>
      <c r="J249" s="1"/>
      <c r="K249" s="1"/>
      <c r="L249" s="4"/>
      <c r="M249" s="1"/>
      <c r="N249" s="3"/>
      <c r="O249" s="1"/>
      <c r="P249" s="3"/>
      <c r="Q249" s="1"/>
      <c r="R249" s="1"/>
      <c r="S249" s="1"/>
    </row>
    <row r="250" spans="2:19" ht="15.6" x14ac:dyDescent="0.3">
      <c r="B250" s="1" t="s">
        <v>1051</v>
      </c>
      <c r="C250" s="1"/>
      <c r="D250" s="1"/>
      <c r="E250" s="2"/>
      <c r="F250" s="1"/>
      <c r="G250" s="1"/>
      <c r="H250" s="1"/>
      <c r="I250" s="1"/>
      <c r="J250" s="1"/>
      <c r="K250" s="1"/>
      <c r="L250" s="4"/>
      <c r="M250" s="1"/>
      <c r="N250" s="3"/>
      <c r="O250" s="1"/>
      <c r="P250" s="3"/>
      <c r="Q250" s="1"/>
      <c r="R250" s="1"/>
      <c r="S250" s="1"/>
    </row>
    <row r="251" spans="2:19" ht="15.6" x14ac:dyDescent="0.3">
      <c r="B251" s="1" t="s">
        <v>1052</v>
      </c>
      <c r="C251" s="1"/>
      <c r="D251" s="1"/>
      <c r="E251" s="2"/>
      <c r="F251" s="1"/>
      <c r="G251" s="1"/>
      <c r="H251" s="1"/>
      <c r="I251" s="1"/>
      <c r="J251" s="1"/>
      <c r="K251" s="1"/>
      <c r="L251" s="4"/>
      <c r="M251" s="1"/>
      <c r="N251" s="3"/>
      <c r="O251" s="1"/>
      <c r="P251" s="3"/>
      <c r="Q251" s="1"/>
      <c r="R251" s="1"/>
      <c r="S251" s="1"/>
    </row>
    <row r="252" spans="2:19" ht="15.6" x14ac:dyDescent="0.3">
      <c r="B252" s="1" t="s">
        <v>1053</v>
      </c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3"/>
      <c r="O252" s="1"/>
      <c r="P252" s="3"/>
      <c r="Q252" s="1"/>
      <c r="R252" s="1"/>
      <c r="S252" s="1"/>
    </row>
    <row r="253" spans="2:19" ht="15.6" x14ac:dyDescent="0.3">
      <c r="B253" s="1" t="s">
        <v>1054</v>
      </c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3"/>
      <c r="O253" s="1"/>
      <c r="P253" s="3"/>
      <c r="Q253" s="1"/>
      <c r="R253" s="1"/>
      <c r="S253" s="1"/>
    </row>
    <row r="254" spans="2:19" ht="15.6" x14ac:dyDescent="0.3">
      <c r="B254" s="1" t="s">
        <v>1055</v>
      </c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3"/>
      <c r="O254" s="1"/>
      <c r="P254" s="3"/>
      <c r="Q254" s="1"/>
      <c r="R254" s="1"/>
      <c r="S254" s="1"/>
    </row>
    <row r="255" spans="2:19" ht="15.6" x14ac:dyDescent="0.3">
      <c r="B255" s="1" t="s">
        <v>1056</v>
      </c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3"/>
      <c r="O255" s="1"/>
      <c r="P255" s="3"/>
      <c r="Q255" s="1"/>
      <c r="R255" s="1"/>
      <c r="S255" s="1"/>
    </row>
    <row r="256" spans="2:19" ht="15.6" x14ac:dyDescent="0.3">
      <c r="B256" s="1" t="s">
        <v>1057</v>
      </c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3"/>
      <c r="O256" s="1"/>
      <c r="P256" s="3"/>
      <c r="Q256" s="1"/>
      <c r="R256" s="1"/>
      <c r="S256" s="1"/>
    </row>
    <row r="257" spans="2:19" ht="15.6" x14ac:dyDescent="0.3">
      <c r="B257" s="1" t="s">
        <v>1058</v>
      </c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3"/>
      <c r="O257" s="1"/>
      <c r="P257" s="3"/>
      <c r="Q257" s="1"/>
      <c r="R257" s="1"/>
      <c r="S257" s="1"/>
    </row>
    <row r="258" spans="2:19" ht="15.6" x14ac:dyDescent="0.3">
      <c r="B258" s="1" t="s">
        <v>1059</v>
      </c>
      <c r="C258" s="1"/>
      <c r="D258" s="1"/>
      <c r="E258" s="2"/>
      <c r="F258" s="1"/>
      <c r="G258" s="1"/>
      <c r="H258" s="1"/>
      <c r="I258" s="1"/>
      <c r="J258" s="4"/>
      <c r="K258" s="4"/>
      <c r="L258" s="1"/>
      <c r="M258" s="1"/>
      <c r="N258" s="3"/>
      <c r="O258" s="1"/>
      <c r="P258" s="3"/>
      <c r="Q258" s="4"/>
      <c r="R258" s="1"/>
      <c r="S258" s="1"/>
    </row>
    <row r="259" spans="2:19" ht="15.6" x14ac:dyDescent="0.3">
      <c r="B259" s="1" t="s">
        <v>1060</v>
      </c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3"/>
      <c r="O259" s="1"/>
      <c r="P259" s="3"/>
      <c r="Q259" s="1"/>
      <c r="R259" s="1"/>
      <c r="S259" s="1"/>
    </row>
    <row r="260" spans="2:19" ht="15.6" x14ac:dyDescent="0.3">
      <c r="B260" s="1" t="s">
        <v>1061</v>
      </c>
      <c r="C260" s="1"/>
      <c r="D260" s="1"/>
      <c r="E260" s="2"/>
      <c r="F260" s="1"/>
      <c r="G260" s="1"/>
      <c r="H260" s="1"/>
      <c r="I260" s="1"/>
      <c r="J260" s="1"/>
      <c r="K260" s="4"/>
      <c r="L260" s="1"/>
      <c r="M260" s="4"/>
      <c r="N260" s="3"/>
      <c r="O260" s="1"/>
      <c r="P260" s="3"/>
      <c r="Q260" s="1"/>
      <c r="R260" s="1"/>
      <c r="S260" s="1"/>
    </row>
    <row r="261" spans="2:19" ht="15.6" x14ac:dyDescent="0.3">
      <c r="B261" s="1" t="s">
        <v>1062</v>
      </c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3"/>
      <c r="O261" s="1"/>
      <c r="P261" s="3"/>
      <c r="Q261" s="1"/>
      <c r="R261" s="1"/>
      <c r="S261" s="1"/>
    </row>
    <row r="262" spans="2:19" ht="15.6" x14ac:dyDescent="0.3">
      <c r="B262" s="1" t="s">
        <v>1063</v>
      </c>
      <c r="C262" s="1"/>
      <c r="D262" s="1"/>
      <c r="E262" s="2"/>
      <c r="F262" s="1"/>
      <c r="G262" s="1"/>
      <c r="H262" s="1"/>
      <c r="I262" s="1"/>
      <c r="J262" s="4"/>
      <c r="K262" s="1"/>
      <c r="L262" s="1"/>
      <c r="M262" s="4"/>
      <c r="N262" s="3"/>
      <c r="O262" s="1"/>
      <c r="P262" s="3"/>
      <c r="Q262" s="4"/>
      <c r="R262" s="1"/>
      <c r="S262" s="1"/>
    </row>
    <row r="263" spans="2:19" ht="15.6" x14ac:dyDescent="0.3">
      <c r="B263" s="1" t="s">
        <v>1064</v>
      </c>
      <c r="C263" s="1"/>
      <c r="D263" s="1"/>
      <c r="E263" s="2"/>
      <c r="F263" s="1"/>
      <c r="G263" s="1"/>
      <c r="H263" s="1"/>
      <c r="I263" s="1"/>
      <c r="J263" s="1"/>
      <c r="K263" s="1"/>
      <c r="L263" s="4"/>
      <c r="M263" s="1"/>
      <c r="N263" s="3"/>
      <c r="O263" s="1"/>
      <c r="P263" s="3"/>
      <c r="Q263" s="1"/>
      <c r="R263" s="1"/>
      <c r="S263" s="1"/>
    </row>
    <row r="264" spans="2:19" ht="15.6" x14ac:dyDescent="0.3">
      <c r="B264" s="1" t="s">
        <v>1065</v>
      </c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3"/>
      <c r="O264" s="1"/>
      <c r="P264" s="3"/>
      <c r="Q264" s="1"/>
      <c r="R264" s="1"/>
      <c r="S264" s="1"/>
    </row>
    <row r="265" spans="2:19" ht="15.6" x14ac:dyDescent="0.3">
      <c r="B265" s="1" t="s">
        <v>1066</v>
      </c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3"/>
      <c r="O265" s="1"/>
      <c r="P265" s="3"/>
      <c r="Q265" s="1"/>
      <c r="R265" s="1"/>
      <c r="S265" s="1"/>
    </row>
    <row r="266" spans="2:19" ht="15.6" x14ac:dyDescent="0.3">
      <c r="B266" s="1" t="s">
        <v>1067</v>
      </c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3"/>
      <c r="O266" s="1"/>
      <c r="P266" s="3"/>
      <c r="Q266" s="4"/>
      <c r="R266" s="1"/>
      <c r="S266" s="1"/>
    </row>
    <row r="267" spans="2:19" ht="15.6" x14ac:dyDescent="0.3">
      <c r="B267" s="1" t="s">
        <v>1068</v>
      </c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3"/>
      <c r="O267" s="1"/>
      <c r="P267" s="3"/>
      <c r="Q267" s="1"/>
      <c r="R267" s="1"/>
      <c r="S267" s="1"/>
    </row>
    <row r="268" spans="2:19" ht="15.6" x14ac:dyDescent="0.3">
      <c r="B268" s="1" t="s">
        <v>1069</v>
      </c>
      <c r="C268" s="1"/>
      <c r="D268" s="1"/>
      <c r="E268" s="2"/>
      <c r="F268" s="1"/>
      <c r="G268" s="1"/>
      <c r="H268" s="1"/>
      <c r="I268" s="1"/>
      <c r="J268" s="1"/>
      <c r="K268" s="1"/>
      <c r="L268" s="4"/>
      <c r="M268" s="1"/>
      <c r="N268" s="3"/>
      <c r="O268" s="1"/>
      <c r="P268" s="6"/>
      <c r="Q268" s="4"/>
      <c r="R268" s="1"/>
      <c r="S268" s="1"/>
    </row>
    <row r="269" spans="2:19" ht="15.6" x14ac:dyDescent="0.3">
      <c r="B269" s="1" t="s">
        <v>1070</v>
      </c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3"/>
      <c r="O269" s="1"/>
      <c r="P269" s="3"/>
      <c r="Q269" s="1"/>
      <c r="R269" s="1"/>
      <c r="S269" s="1"/>
    </row>
    <row r="270" spans="2:19" ht="15.6" x14ac:dyDescent="0.3">
      <c r="B270" s="1" t="s">
        <v>1071</v>
      </c>
      <c r="C270" s="1"/>
      <c r="D270" s="1"/>
      <c r="E270" s="2"/>
      <c r="F270" s="1"/>
      <c r="G270" s="1"/>
      <c r="H270" s="1"/>
      <c r="I270" s="1"/>
      <c r="J270" s="1"/>
      <c r="K270" s="4"/>
      <c r="L270" s="1"/>
      <c r="M270" s="1"/>
      <c r="N270" s="3"/>
      <c r="O270" s="1"/>
      <c r="P270" s="3"/>
      <c r="Q270" s="1"/>
      <c r="R270" s="1"/>
      <c r="S270" s="1"/>
    </row>
    <row r="271" spans="2:19" ht="15.6" x14ac:dyDescent="0.3">
      <c r="B271" s="1" t="s">
        <v>1072</v>
      </c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3"/>
      <c r="O271" s="1"/>
      <c r="P271" s="3"/>
      <c r="Q271" s="1"/>
      <c r="R271" s="1"/>
      <c r="S271" s="1"/>
    </row>
    <row r="272" spans="2:19" ht="15.6" x14ac:dyDescent="0.3">
      <c r="B272" s="1" t="s">
        <v>1073</v>
      </c>
      <c r="C272" s="1"/>
      <c r="D272" s="1"/>
      <c r="E272" s="2"/>
      <c r="F272" s="1"/>
      <c r="G272" s="1"/>
      <c r="H272" s="1"/>
      <c r="I272" s="1"/>
      <c r="J272" s="1"/>
      <c r="K272" s="1"/>
      <c r="L272" s="4"/>
      <c r="M272" s="1"/>
      <c r="N272" s="3"/>
      <c r="O272" s="1"/>
      <c r="P272" s="3"/>
      <c r="Q272" s="1"/>
      <c r="R272" s="1"/>
      <c r="S272" s="1"/>
    </row>
    <row r="273" spans="2:19" ht="15.6" x14ac:dyDescent="0.3">
      <c r="B273" s="1" t="s">
        <v>1074</v>
      </c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3"/>
      <c r="O273" s="1"/>
      <c r="P273" s="3"/>
      <c r="Q273" s="1"/>
      <c r="R273" s="1"/>
      <c r="S273" s="1"/>
    </row>
    <row r="274" spans="2:19" ht="15.6" x14ac:dyDescent="0.3">
      <c r="B274" s="1" t="s">
        <v>1075</v>
      </c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2:19" ht="15.6" x14ac:dyDescent="0.3">
      <c r="B275" s="1" t="s">
        <v>1076</v>
      </c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3"/>
      <c r="O275" s="1"/>
      <c r="P275" s="3"/>
      <c r="Q275" s="1"/>
      <c r="R275" s="1"/>
      <c r="S275" s="1"/>
    </row>
    <row r="276" spans="2:19" ht="15.6" x14ac:dyDescent="0.3">
      <c r="B276" s="1" t="s">
        <v>1077</v>
      </c>
      <c r="C276" s="1"/>
      <c r="D276" s="1"/>
      <c r="E276" s="2"/>
      <c r="F276" s="1"/>
      <c r="G276" s="1"/>
      <c r="H276" s="1"/>
      <c r="I276" s="1"/>
      <c r="J276" s="1"/>
      <c r="K276" s="4"/>
      <c r="L276" s="1"/>
      <c r="M276" s="1"/>
      <c r="N276" s="3"/>
      <c r="O276" s="1"/>
      <c r="P276" s="3"/>
      <c r="Q276" s="1"/>
      <c r="R276" s="1"/>
      <c r="S276" s="1"/>
    </row>
    <row r="277" spans="2:19" ht="15.6" x14ac:dyDescent="0.3">
      <c r="B277" s="1" t="s">
        <v>1078</v>
      </c>
      <c r="C277" s="1"/>
      <c r="D277" s="1"/>
      <c r="E277" s="2"/>
      <c r="F277" s="1"/>
      <c r="G277" s="1"/>
      <c r="H277" s="1"/>
      <c r="I277" s="1"/>
      <c r="J277" s="1"/>
      <c r="K277" s="1"/>
      <c r="L277" s="4"/>
      <c r="M277" s="1"/>
      <c r="N277" s="3"/>
      <c r="O277" s="1"/>
      <c r="P277" s="3"/>
      <c r="Q277" s="1"/>
      <c r="R277" s="1"/>
      <c r="S277" s="1"/>
    </row>
    <row r="278" spans="2:19" ht="15.6" x14ac:dyDescent="0.3">
      <c r="B278" s="1" t="s">
        <v>1079</v>
      </c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3"/>
      <c r="O278" s="1"/>
      <c r="P278" s="3"/>
      <c r="Q278" s="1"/>
      <c r="R278" s="1"/>
      <c r="S278" s="1"/>
    </row>
    <row r="279" spans="2:19" ht="15.6" x14ac:dyDescent="0.3">
      <c r="B279" s="1" t="s">
        <v>1080</v>
      </c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3"/>
      <c r="O279" s="1"/>
      <c r="P279" s="3"/>
      <c r="Q279" s="1"/>
      <c r="R279" s="1"/>
      <c r="S279" s="1"/>
    </row>
    <row r="280" spans="2:19" ht="15.6" x14ac:dyDescent="0.3">
      <c r="B280" s="1" t="s">
        <v>1081</v>
      </c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3"/>
      <c r="Q280" s="1"/>
      <c r="R280" s="1"/>
      <c r="S280" s="1"/>
    </row>
    <row r="281" spans="2:19" ht="15.6" x14ac:dyDescent="0.3">
      <c r="B281" s="1" t="s">
        <v>1082</v>
      </c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3"/>
      <c r="O281" s="1"/>
      <c r="P281" s="3"/>
      <c r="Q281" s="1"/>
      <c r="R281" s="1"/>
      <c r="S281" s="1"/>
    </row>
    <row r="282" spans="2:19" ht="15.6" x14ac:dyDescent="0.3">
      <c r="B282" s="1" t="s">
        <v>1083</v>
      </c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4"/>
      <c r="N282" s="1"/>
      <c r="O282" s="1"/>
      <c r="P282" s="3"/>
      <c r="Q282" s="1"/>
      <c r="R282" s="1"/>
      <c r="S282" s="1"/>
    </row>
    <row r="283" spans="2:19" ht="15.6" x14ac:dyDescent="0.3">
      <c r="B283" s="1" t="s">
        <v>1084</v>
      </c>
      <c r="C283" s="1"/>
      <c r="D283" s="1"/>
      <c r="E283" s="2"/>
      <c r="F283" s="1"/>
      <c r="G283" s="1"/>
      <c r="H283" s="1"/>
      <c r="I283" s="4"/>
      <c r="J283" s="1"/>
      <c r="K283" s="1"/>
      <c r="L283" s="1"/>
      <c r="M283" s="1"/>
      <c r="N283" s="3"/>
      <c r="O283" s="1"/>
      <c r="P283" s="3"/>
      <c r="Q283" s="1"/>
      <c r="R283" s="1"/>
      <c r="S283" s="1"/>
    </row>
    <row r="284" spans="2:19" ht="15.6" x14ac:dyDescent="0.3">
      <c r="B284" s="1" t="s">
        <v>1085</v>
      </c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3"/>
      <c r="O284" s="1"/>
      <c r="P284" s="3"/>
      <c r="Q284" s="1"/>
      <c r="R284" s="1"/>
      <c r="S284" s="1"/>
    </row>
    <row r="285" spans="2:19" ht="15.6" x14ac:dyDescent="0.3">
      <c r="B285" s="1" t="s">
        <v>1086</v>
      </c>
      <c r="C285" s="1"/>
      <c r="D285" s="1"/>
      <c r="E285" s="2"/>
      <c r="F285" s="1"/>
      <c r="G285" s="1"/>
      <c r="H285" s="1"/>
      <c r="I285" s="1"/>
      <c r="J285" s="1"/>
      <c r="K285" s="1"/>
      <c r="L285" s="4"/>
      <c r="M285" s="1"/>
      <c r="N285" s="3"/>
      <c r="O285" s="1"/>
      <c r="P285" s="3"/>
      <c r="Q285" s="1"/>
      <c r="R285" s="1"/>
      <c r="S285" s="1"/>
    </row>
    <row r="286" spans="2:19" ht="15.6" x14ac:dyDescent="0.3">
      <c r="B286" s="1" t="s">
        <v>1087</v>
      </c>
      <c r="C286" s="1"/>
      <c r="D286" s="1"/>
      <c r="E286" s="2"/>
      <c r="F286" s="1"/>
      <c r="G286" s="1"/>
      <c r="H286" s="1"/>
      <c r="I286" s="1"/>
      <c r="J286" s="4"/>
      <c r="K286" s="1"/>
      <c r="L286" s="1"/>
      <c r="M286" s="4"/>
      <c r="N286" s="3"/>
      <c r="O286" s="1"/>
      <c r="P286" s="3"/>
      <c r="Q286" s="1"/>
      <c r="R286" s="1"/>
      <c r="S286" s="1"/>
    </row>
    <row r="287" spans="2:19" ht="15.6" x14ac:dyDescent="0.3">
      <c r="B287" s="1" t="s">
        <v>1088</v>
      </c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3"/>
      <c r="O287" s="1"/>
      <c r="P287" s="3"/>
      <c r="Q287" s="1"/>
      <c r="R287" s="1"/>
      <c r="S287" s="1"/>
    </row>
    <row r="288" spans="2:19" ht="15.6" x14ac:dyDescent="0.3">
      <c r="B288" s="1" t="s">
        <v>1089</v>
      </c>
      <c r="C288" s="1"/>
      <c r="D288" s="1"/>
      <c r="E288" s="2"/>
      <c r="F288" s="1"/>
      <c r="G288" s="1"/>
      <c r="H288" s="1"/>
      <c r="I288" s="1"/>
      <c r="J288" s="1"/>
      <c r="K288" s="4"/>
      <c r="L288" s="1"/>
      <c r="M288" s="1"/>
      <c r="N288" s="3"/>
      <c r="O288" s="1"/>
      <c r="P288" s="1"/>
      <c r="Q288" s="1"/>
      <c r="R288" s="1"/>
      <c r="S288" s="1"/>
    </row>
    <row r="289" spans="2:19" ht="15.6" x14ac:dyDescent="0.3">
      <c r="B289" s="1" t="s">
        <v>1090</v>
      </c>
      <c r="C289" s="1"/>
      <c r="D289" s="1"/>
      <c r="E289" s="2"/>
      <c r="F289" s="1"/>
      <c r="G289" s="1"/>
      <c r="H289" s="1"/>
      <c r="I289" s="1"/>
      <c r="J289" s="1"/>
      <c r="K289" s="1"/>
      <c r="L289" s="4"/>
      <c r="M289" s="1"/>
      <c r="N289" s="1"/>
      <c r="O289" s="1"/>
      <c r="P289" s="1"/>
      <c r="Q289" s="1"/>
      <c r="R289" s="1"/>
      <c r="S289" s="1"/>
    </row>
    <row r="290" spans="2:19" ht="15.6" x14ac:dyDescent="0.3">
      <c r="B290" s="1" t="s">
        <v>1091</v>
      </c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3"/>
      <c r="O290" s="1"/>
      <c r="P290" s="3"/>
      <c r="Q290" s="1"/>
      <c r="R290" s="1"/>
      <c r="S290" s="1"/>
    </row>
    <row r="291" spans="2:19" ht="15.6" x14ac:dyDescent="0.3">
      <c r="B291" s="1" t="s">
        <v>1092</v>
      </c>
      <c r="C291" s="1"/>
      <c r="D291" s="1"/>
      <c r="E291" s="2"/>
      <c r="F291" s="1"/>
      <c r="G291" s="1"/>
      <c r="H291" s="1"/>
      <c r="I291" s="1"/>
      <c r="J291" s="1"/>
      <c r="K291" s="1"/>
      <c r="L291" s="4"/>
      <c r="M291" s="4"/>
      <c r="N291" s="3"/>
      <c r="O291" s="1"/>
      <c r="P291" s="3"/>
      <c r="Q291" s="1"/>
      <c r="R291" s="1"/>
      <c r="S291" s="1"/>
    </row>
    <row r="292" spans="2:19" ht="15.6" x14ac:dyDescent="0.3">
      <c r="B292" s="1" t="s">
        <v>1093</v>
      </c>
      <c r="C292" s="1"/>
      <c r="D292" s="1"/>
      <c r="E292" s="2"/>
      <c r="F292" s="1"/>
      <c r="G292" s="1"/>
      <c r="H292" s="1"/>
      <c r="I292" s="1"/>
      <c r="J292" s="1"/>
      <c r="K292" s="1"/>
      <c r="L292" s="4"/>
      <c r="M292" s="1"/>
      <c r="N292" s="3"/>
      <c r="O292" s="1"/>
      <c r="P292" s="3"/>
      <c r="Q292" s="1"/>
      <c r="R292" s="1"/>
      <c r="S292" s="1"/>
    </row>
    <row r="293" spans="2:19" ht="15.6" x14ac:dyDescent="0.3">
      <c r="B293" s="1" t="s">
        <v>1094</v>
      </c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3"/>
      <c r="O293" s="1"/>
      <c r="P293" s="3"/>
      <c r="Q293" s="1"/>
      <c r="R293" s="1"/>
      <c r="S293" s="1"/>
    </row>
    <row r="294" spans="2:19" ht="15.6" x14ac:dyDescent="0.3">
      <c r="B294" s="1" t="s">
        <v>1095</v>
      </c>
      <c r="C294" s="1"/>
      <c r="D294" s="1"/>
      <c r="E294" s="2"/>
      <c r="F294" s="1"/>
      <c r="G294" s="1"/>
      <c r="H294" s="1"/>
      <c r="I294" s="1"/>
      <c r="J294" s="1"/>
      <c r="K294" s="4"/>
      <c r="L294" s="1"/>
      <c r="M294" s="4"/>
      <c r="N294" s="3"/>
      <c r="O294" s="1"/>
      <c r="P294" s="3"/>
      <c r="Q294" s="1"/>
      <c r="R294" s="1"/>
      <c r="S294" s="1"/>
    </row>
    <row r="295" spans="2:19" ht="15.6" x14ac:dyDescent="0.3">
      <c r="B295" s="1" t="s">
        <v>1096</v>
      </c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3"/>
      <c r="O295" s="1"/>
      <c r="P295" s="3"/>
      <c r="Q295" s="1"/>
      <c r="R295" s="1"/>
      <c r="S295" s="1"/>
    </row>
    <row r="296" spans="2:19" ht="15.6" x14ac:dyDescent="0.3">
      <c r="B296" s="1" t="s">
        <v>1097</v>
      </c>
      <c r="C296" s="1"/>
      <c r="D296" s="1"/>
      <c r="E296" s="2"/>
      <c r="F296" s="1"/>
      <c r="G296" s="1"/>
      <c r="H296" s="1"/>
      <c r="I296" s="1"/>
      <c r="J296" s="4"/>
      <c r="K296" s="1"/>
      <c r="L296" s="1"/>
      <c r="M296" s="4"/>
      <c r="N296" s="3"/>
      <c r="O296" s="1"/>
      <c r="P296" s="3"/>
      <c r="Q296" s="4"/>
      <c r="R296" s="1"/>
      <c r="S296" s="1"/>
    </row>
    <row r="297" spans="2:19" ht="15.6" x14ac:dyDescent="0.3">
      <c r="B297" s="1" t="s">
        <v>1098</v>
      </c>
      <c r="C297" s="1"/>
      <c r="D297" s="1"/>
      <c r="E297" s="2"/>
      <c r="F297" s="1"/>
      <c r="G297" s="1"/>
      <c r="H297" s="1"/>
      <c r="I297" s="1"/>
      <c r="J297" s="1"/>
      <c r="K297" s="1"/>
      <c r="L297" s="4"/>
      <c r="M297" s="1"/>
      <c r="N297" s="3"/>
      <c r="O297" s="1"/>
      <c r="P297" s="3"/>
      <c r="Q297" s="1"/>
      <c r="R297" s="1"/>
      <c r="S297" s="1"/>
    </row>
    <row r="298" spans="2:19" ht="15.6" x14ac:dyDescent="0.3">
      <c r="B298" s="1" t="s">
        <v>1099</v>
      </c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3"/>
      <c r="O298" s="1"/>
      <c r="P298" s="3"/>
      <c r="Q298" s="1"/>
      <c r="R298" s="1"/>
      <c r="S298" s="1"/>
    </row>
    <row r="299" spans="2:19" ht="15.6" x14ac:dyDescent="0.3">
      <c r="B299" s="1" t="s">
        <v>1100</v>
      </c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3"/>
      <c r="O299" s="1"/>
      <c r="P299" s="3"/>
      <c r="Q299" s="1"/>
      <c r="R299" s="1"/>
      <c r="S299" s="1"/>
    </row>
    <row r="300" spans="2:19" ht="15.6" x14ac:dyDescent="0.3">
      <c r="B300" s="1" t="s">
        <v>1101</v>
      </c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3"/>
      <c r="O300" s="1"/>
      <c r="P300" s="3"/>
      <c r="Q300" s="4"/>
      <c r="R300" s="1"/>
      <c r="S300" s="1"/>
    </row>
    <row r="301" spans="2:19" ht="15.6" x14ac:dyDescent="0.3">
      <c r="B301" s="1" t="s">
        <v>1102</v>
      </c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3"/>
      <c r="O301" s="1"/>
      <c r="P301" s="3"/>
      <c r="Q301" s="1"/>
      <c r="R301" s="1"/>
      <c r="S301" s="1"/>
    </row>
    <row r="302" spans="2:19" ht="15.6" x14ac:dyDescent="0.3">
      <c r="B302" s="1" t="s">
        <v>1103</v>
      </c>
      <c r="C302" s="1"/>
      <c r="D302" s="1"/>
      <c r="E302" s="2"/>
      <c r="F302" s="1"/>
      <c r="G302" s="1"/>
      <c r="H302" s="1"/>
      <c r="I302" s="1"/>
      <c r="J302" s="1"/>
      <c r="K302" s="1"/>
      <c r="L302" s="4"/>
      <c r="M302" s="1"/>
      <c r="N302" s="3"/>
      <c r="O302" s="1"/>
      <c r="P302" s="6"/>
      <c r="Q302" s="4"/>
      <c r="R302" s="1"/>
      <c r="S302" s="1"/>
    </row>
    <row r="303" spans="2:19" ht="15.6" x14ac:dyDescent="0.3">
      <c r="B303" s="1" t="s">
        <v>1104</v>
      </c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3"/>
      <c r="O303" s="1"/>
      <c r="P303" s="3"/>
      <c r="Q303" s="1"/>
      <c r="R303" s="1"/>
      <c r="S303" s="1"/>
    </row>
    <row r="304" spans="2:19" ht="15.6" x14ac:dyDescent="0.3">
      <c r="B304" s="1" t="s">
        <v>1105</v>
      </c>
      <c r="C304" s="1"/>
      <c r="D304" s="1"/>
      <c r="E304" s="2"/>
      <c r="F304" s="1"/>
      <c r="G304" s="1"/>
      <c r="H304" s="1"/>
      <c r="I304" s="1"/>
      <c r="J304" s="1"/>
      <c r="K304" s="4"/>
      <c r="L304" s="1"/>
      <c r="M304" s="1"/>
      <c r="N304" s="3"/>
      <c r="O304" s="1"/>
      <c r="P304" s="3"/>
      <c r="Q304" s="1"/>
      <c r="R304" s="1"/>
      <c r="S304" s="1"/>
    </row>
    <row r="305" spans="2:19" ht="15.6" x14ac:dyDescent="0.3">
      <c r="B305" s="1" t="s">
        <v>1106</v>
      </c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3"/>
      <c r="O305" s="1"/>
      <c r="P305" s="3"/>
      <c r="Q305" s="1"/>
      <c r="R305" s="1"/>
      <c r="S305" s="1"/>
    </row>
    <row r="306" spans="2:19" ht="15.6" x14ac:dyDescent="0.3">
      <c r="B306" s="1" t="s">
        <v>1107</v>
      </c>
      <c r="C306" s="1"/>
      <c r="D306" s="1"/>
      <c r="E306" s="2"/>
      <c r="F306" s="1"/>
      <c r="G306" s="1"/>
      <c r="H306" s="1"/>
      <c r="I306" s="1"/>
      <c r="J306" s="1"/>
      <c r="K306" s="1"/>
      <c r="L306" s="4"/>
      <c r="M306" s="1"/>
      <c r="N306" s="3"/>
      <c r="O306" s="1"/>
      <c r="P306" s="3"/>
      <c r="Q306" s="1"/>
      <c r="R306" s="1"/>
      <c r="S306" s="1"/>
    </row>
    <row r="307" spans="2:19" ht="15.6" x14ac:dyDescent="0.3">
      <c r="B307" s="1" t="s">
        <v>1108</v>
      </c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3"/>
      <c r="O307" s="1"/>
      <c r="P307" s="3"/>
      <c r="Q307" s="1"/>
      <c r="R307" s="1"/>
      <c r="S307" s="1"/>
    </row>
    <row r="308" spans="2:19" ht="15.6" x14ac:dyDescent="0.3">
      <c r="B308" s="1" t="s">
        <v>1109</v>
      </c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2:19" ht="15.6" x14ac:dyDescent="0.3">
      <c r="B309" s="1" t="s">
        <v>1110</v>
      </c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3"/>
      <c r="O309" s="1"/>
      <c r="P309" s="3"/>
      <c r="Q309" s="1"/>
      <c r="R309" s="1"/>
      <c r="S309" s="1"/>
    </row>
    <row r="310" spans="2:19" ht="15.6" x14ac:dyDescent="0.3">
      <c r="B310" s="1" t="s">
        <v>1111</v>
      </c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3"/>
      <c r="O310" s="1"/>
      <c r="P310" s="3"/>
      <c r="Q310" s="1"/>
      <c r="R310" s="1"/>
      <c r="S310" s="1"/>
    </row>
    <row r="311" spans="2:19" ht="15.6" x14ac:dyDescent="0.3">
      <c r="B311" s="1" t="s">
        <v>1112</v>
      </c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4"/>
      <c r="N311" s="3"/>
      <c r="O311" s="1"/>
      <c r="P311" s="3"/>
      <c r="Q311" s="1"/>
      <c r="R311" s="1"/>
      <c r="S311" s="1"/>
    </row>
    <row r="312" spans="2:19" ht="15.6" x14ac:dyDescent="0.3">
      <c r="B312" s="1" t="s">
        <v>1113</v>
      </c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3"/>
      <c r="O312" s="1"/>
      <c r="P312" s="3"/>
      <c r="Q312" s="1"/>
      <c r="R312" s="1"/>
      <c r="S312" s="1"/>
    </row>
    <row r="313" spans="2:19" ht="15.6" x14ac:dyDescent="0.3">
      <c r="B313" s="1" t="s">
        <v>1114</v>
      </c>
      <c r="C313" s="1"/>
      <c r="D313" s="1"/>
      <c r="E313" s="2"/>
      <c r="F313" s="1"/>
      <c r="G313" s="1"/>
      <c r="H313" s="1"/>
      <c r="I313" s="1"/>
      <c r="J313" s="1"/>
      <c r="K313" s="4"/>
      <c r="L313" s="1"/>
      <c r="M313" s="4"/>
      <c r="N313" s="3"/>
      <c r="O313" s="1"/>
      <c r="P313" s="3"/>
      <c r="Q313" s="1"/>
      <c r="R313" s="1"/>
      <c r="S313" s="1"/>
    </row>
    <row r="314" spans="2:19" ht="15.6" x14ac:dyDescent="0.3">
      <c r="B314" s="1" t="s">
        <v>1115</v>
      </c>
      <c r="C314" s="1"/>
      <c r="D314" s="1"/>
      <c r="E314" s="2"/>
      <c r="F314" s="1"/>
      <c r="G314" s="1"/>
      <c r="H314" s="1"/>
      <c r="I314" s="1"/>
      <c r="J314" s="1"/>
      <c r="K314" s="1"/>
      <c r="L314" s="4"/>
      <c r="M314" s="1"/>
      <c r="N314" s="1"/>
      <c r="O314" s="1"/>
      <c r="P314" s="1"/>
      <c r="Q314" s="1"/>
      <c r="R314" s="1"/>
      <c r="S314" s="1"/>
    </row>
    <row r="315" spans="2:19" ht="15.6" x14ac:dyDescent="0.3">
      <c r="B315" s="1" t="s">
        <v>1116</v>
      </c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3"/>
      <c r="O315" s="1"/>
      <c r="P315" s="3"/>
      <c r="Q315" s="1"/>
      <c r="R315" s="1"/>
      <c r="S315" s="1"/>
    </row>
    <row r="316" spans="2:19" ht="15.6" x14ac:dyDescent="0.3">
      <c r="B316" s="1" t="s">
        <v>1117</v>
      </c>
      <c r="C316" s="1"/>
      <c r="D316" s="1"/>
      <c r="E316" s="2"/>
      <c r="F316" s="1"/>
      <c r="G316" s="1"/>
      <c r="H316" s="1"/>
      <c r="I316" s="4"/>
      <c r="J316" s="1"/>
      <c r="K316" s="1"/>
      <c r="L316" s="1"/>
      <c r="M316" s="1"/>
      <c r="N316" s="3"/>
      <c r="O316" s="1"/>
      <c r="P316" s="3"/>
      <c r="Q316" s="1"/>
      <c r="R316" s="1"/>
      <c r="S316" s="1"/>
    </row>
    <row r="317" spans="2:19" ht="15.6" x14ac:dyDescent="0.3">
      <c r="B317" s="1" t="s">
        <v>1118</v>
      </c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3"/>
      <c r="O317" s="1"/>
      <c r="P317" s="3"/>
      <c r="Q317" s="1"/>
      <c r="R317" s="1"/>
      <c r="S317" s="1"/>
    </row>
    <row r="318" spans="2:19" ht="15.6" x14ac:dyDescent="0.3">
      <c r="B318" s="1" t="s">
        <v>1119</v>
      </c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3"/>
      <c r="O318" s="1"/>
      <c r="P318" s="3"/>
      <c r="Q318" s="1"/>
      <c r="R318" s="1"/>
      <c r="S318" s="1"/>
    </row>
    <row r="319" spans="2:19" ht="15.6" x14ac:dyDescent="0.3">
      <c r="B319" s="1" t="s">
        <v>1120</v>
      </c>
      <c r="C319" s="1"/>
      <c r="D319" s="1"/>
      <c r="E319" s="2"/>
      <c r="F319" s="1"/>
      <c r="G319" s="1"/>
      <c r="H319" s="1"/>
      <c r="I319" s="1"/>
      <c r="J319" s="1"/>
      <c r="K319" s="4"/>
      <c r="L319" s="4"/>
      <c r="M319" s="1"/>
      <c r="N319" s="3"/>
      <c r="O319" s="1"/>
      <c r="P319" s="3"/>
      <c r="Q319" s="4"/>
      <c r="R319" s="1"/>
      <c r="S319" s="1"/>
    </row>
    <row r="320" spans="2:19" ht="15.6" x14ac:dyDescent="0.3">
      <c r="B320" s="1" t="s">
        <v>1121</v>
      </c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3"/>
      <c r="O320" s="1"/>
      <c r="P320" s="3"/>
      <c r="Q320" s="4"/>
      <c r="R320" s="1"/>
      <c r="S320" s="1"/>
    </row>
    <row r="321" spans="2:19" ht="15.6" x14ac:dyDescent="0.3">
      <c r="B321" s="1" t="s">
        <v>1122</v>
      </c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3"/>
      <c r="O321" s="1"/>
      <c r="P321" s="3"/>
      <c r="Q321" s="1"/>
      <c r="R321" s="1"/>
      <c r="S321" s="1"/>
    </row>
    <row r="322" spans="2:19" ht="15.6" x14ac:dyDescent="0.3">
      <c r="B322" s="1" t="s">
        <v>1123</v>
      </c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3"/>
      <c r="Q322" s="1"/>
      <c r="R322" s="1"/>
      <c r="S322" s="1"/>
    </row>
    <row r="323" spans="2:19" ht="15.6" x14ac:dyDescent="0.3">
      <c r="B323" s="1" t="s">
        <v>1124</v>
      </c>
      <c r="C323" s="1"/>
      <c r="D323" s="1"/>
      <c r="E323" s="2"/>
      <c r="F323" s="1"/>
      <c r="G323" s="1"/>
      <c r="H323" s="1"/>
      <c r="I323" s="4"/>
      <c r="J323" s="1"/>
      <c r="K323" s="1"/>
      <c r="L323" s="4"/>
      <c r="M323" s="1"/>
      <c r="N323" s="3"/>
      <c r="O323" s="1"/>
      <c r="P323" s="3"/>
      <c r="Q323" s="1"/>
      <c r="R323" s="1"/>
      <c r="S323" s="1"/>
    </row>
    <row r="324" spans="2:19" ht="15.6" x14ac:dyDescent="0.3">
      <c r="B324" s="1" t="s">
        <v>1125</v>
      </c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3"/>
      <c r="O324" s="1"/>
      <c r="P324" s="3"/>
      <c r="Q324" s="1"/>
      <c r="R324" s="1"/>
      <c r="S324" s="1"/>
    </row>
    <row r="325" spans="2:19" ht="15.6" x14ac:dyDescent="0.3">
      <c r="B325" s="1" t="s">
        <v>1126</v>
      </c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3"/>
      <c r="O325" s="1"/>
      <c r="P325" s="3"/>
      <c r="Q325" s="1"/>
      <c r="R325" s="1"/>
      <c r="S325" s="1"/>
    </row>
    <row r="326" spans="2:19" ht="15.6" x14ac:dyDescent="0.3">
      <c r="B326" s="1" t="s">
        <v>1127</v>
      </c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3"/>
      <c r="O326" s="1"/>
      <c r="P326" s="3"/>
      <c r="Q326" s="1"/>
      <c r="R326" s="1"/>
      <c r="S326" s="1"/>
    </row>
    <row r="327" spans="2:19" ht="15.6" x14ac:dyDescent="0.3">
      <c r="B327" s="1" t="s">
        <v>1128</v>
      </c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3"/>
      <c r="O327" s="1"/>
      <c r="P327" s="3"/>
      <c r="Q327" s="1"/>
      <c r="R327" s="1"/>
      <c r="S327" s="1"/>
    </row>
    <row r="328" spans="2:19" ht="15.6" x14ac:dyDescent="0.3">
      <c r="B328" s="1" t="s">
        <v>1129</v>
      </c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3"/>
      <c r="O328" s="1"/>
      <c r="P328" s="3"/>
      <c r="Q328" s="1"/>
      <c r="R328" s="1"/>
      <c r="S328" s="1"/>
    </row>
    <row r="329" spans="2:19" ht="15.6" x14ac:dyDescent="0.3">
      <c r="B329" s="1" t="s">
        <v>1130</v>
      </c>
      <c r="C329" s="1"/>
      <c r="D329" s="1"/>
      <c r="E329" s="2"/>
      <c r="F329" s="1"/>
      <c r="G329" s="1"/>
      <c r="H329" s="1"/>
      <c r="I329" s="1"/>
      <c r="J329" s="1"/>
      <c r="K329" s="1"/>
      <c r="L329" s="4"/>
      <c r="M329" s="1"/>
      <c r="N329" s="3"/>
      <c r="O329" s="1"/>
      <c r="P329" s="3"/>
      <c r="Q329" s="1"/>
      <c r="R329" s="1"/>
      <c r="S329" s="1"/>
    </row>
    <row r="330" spans="2:19" ht="15.6" x14ac:dyDescent="0.3">
      <c r="B330" s="1" t="s">
        <v>1131</v>
      </c>
      <c r="C330" s="1"/>
      <c r="D330" s="1"/>
      <c r="E330" s="2"/>
      <c r="F330" s="1"/>
      <c r="G330" s="1"/>
      <c r="H330" s="1"/>
      <c r="I330" s="4"/>
      <c r="J330" s="1"/>
      <c r="K330" s="1"/>
      <c r="L330" s="1"/>
      <c r="M330" s="1"/>
      <c r="N330" s="3"/>
      <c r="O330" s="1"/>
      <c r="P330" s="3"/>
      <c r="Q330" s="1"/>
      <c r="R330" s="1"/>
      <c r="S330" s="1"/>
    </row>
    <row r="331" spans="2:19" ht="15.6" x14ac:dyDescent="0.3">
      <c r="B331" s="1" t="s">
        <v>1132</v>
      </c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3"/>
      <c r="O331" s="1"/>
      <c r="P331" s="3"/>
      <c r="Q331" s="1"/>
      <c r="R331" s="1"/>
      <c r="S331" s="1"/>
    </row>
    <row r="332" spans="2:19" ht="15.6" x14ac:dyDescent="0.3">
      <c r="B332" s="1" t="s">
        <v>1133</v>
      </c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3"/>
      <c r="O332" s="1"/>
      <c r="P332" s="3"/>
      <c r="Q332" s="1"/>
      <c r="R332" s="1"/>
      <c r="S332" s="1"/>
    </row>
    <row r="333" spans="2:19" ht="15.6" x14ac:dyDescent="0.3">
      <c r="B333" s="1" t="s">
        <v>1134</v>
      </c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3"/>
      <c r="O333" s="1"/>
      <c r="P333" s="3"/>
      <c r="Q333" s="1"/>
      <c r="R333" s="1"/>
      <c r="S333" s="1"/>
    </row>
    <row r="334" spans="2:19" ht="15.6" x14ac:dyDescent="0.3">
      <c r="B334" s="1" t="s">
        <v>1135</v>
      </c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4"/>
      <c r="N334" s="3"/>
      <c r="O334" s="1"/>
      <c r="P334" s="3"/>
      <c r="Q334" s="1"/>
      <c r="R334" s="1"/>
      <c r="S334" s="1"/>
    </row>
    <row r="335" spans="2:19" ht="15.6" x14ac:dyDescent="0.3">
      <c r="B335" s="1" t="s">
        <v>1136</v>
      </c>
      <c r="C335" s="1"/>
      <c r="D335" s="1"/>
      <c r="E335" s="2"/>
      <c r="F335" s="1"/>
      <c r="G335" s="1"/>
      <c r="H335" s="1"/>
      <c r="I335" s="1"/>
      <c r="J335" s="1"/>
      <c r="K335" s="1"/>
      <c r="L335" s="4"/>
      <c r="M335" s="1"/>
      <c r="N335" s="3"/>
      <c r="O335" s="1"/>
      <c r="P335" s="3"/>
      <c r="Q335" s="1"/>
      <c r="R335" s="1"/>
      <c r="S335" s="1"/>
    </row>
    <row r="336" spans="2:19" ht="15.6" x14ac:dyDescent="0.3">
      <c r="B336" s="1" t="s">
        <v>1137</v>
      </c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3"/>
      <c r="O336" s="4"/>
      <c r="P336" s="3"/>
      <c r="Q336" s="1"/>
      <c r="R336" s="1"/>
      <c r="S336" s="1"/>
    </row>
    <row r="337" spans="2:19" ht="15.6" x14ac:dyDescent="0.3">
      <c r="B337" s="1" t="s">
        <v>1138</v>
      </c>
      <c r="C337" s="1"/>
      <c r="D337" s="1"/>
      <c r="E337" s="2"/>
      <c r="F337" s="1"/>
      <c r="G337" s="1"/>
      <c r="H337" s="1"/>
      <c r="I337" s="1"/>
      <c r="J337" s="1"/>
      <c r="K337" s="1"/>
      <c r="L337" s="4"/>
      <c r="M337" s="1"/>
      <c r="N337" s="3"/>
      <c r="O337" s="1"/>
      <c r="P337" s="3"/>
      <c r="Q337" s="1"/>
      <c r="R337" s="1"/>
      <c r="S337" s="1"/>
    </row>
    <row r="338" spans="2:19" ht="15.6" x14ac:dyDescent="0.3">
      <c r="B338" s="1" t="s">
        <v>1139</v>
      </c>
      <c r="C338" s="1"/>
      <c r="D338" s="1"/>
      <c r="E338" s="2"/>
      <c r="F338" s="1"/>
      <c r="G338" s="1"/>
      <c r="H338" s="1"/>
      <c r="I338" s="1"/>
      <c r="J338" s="1"/>
      <c r="K338" s="4"/>
      <c r="L338" s="1"/>
      <c r="M338" s="1"/>
      <c r="N338" s="3"/>
      <c r="O338" s="1"/>
      <c r="P338" s="1"/>
      <c r="Q338" s="1"/>
      <c r="R338" s="1"/>
      <c r="S338" s="1"/>
    </row>
    <row r="339" spans="2:19" ht="15.6" x14ac:dyDescent="0.3">
      <c r="B339" s="1" t="s">
        <v>1140</v>
      </c>
      <c r="C339" s="1"/>
      <c r="D339" s="1"/>
      <c r="E339" s="2"/>
      <c r="F339" s="1"/>
      <c r="G339" s="1"/>
      <c r="H339" s="1"/>
      <c r="I339" s="1"/>
      <c r="J339" s="1"/>
      <c r="K339" s="1"/>
      <c r="L339" s="4"/>
      <c r="M339" s="1"/>
      <c r="N339" s="3"/>
      <c r="O339" s="1"/>
      <c r="P339" s="3"/>
      <c r="Q339" s="1"/>
      <c r="R339" s="1"/>
      <c r="S339" s="1"/>
    </row>
    <row r="340" spans="2:19" ht="15.6" x14ac:dyDescent="0.3">
      <c r="B340" s="1" t="s">
        <v>1141</v>
      </c>
      <c r="C340" s="1"/>
      <c r="D340" s="1"/>
      <c r="E340" s="2"/>
      <c r="F340" s="1"/>
      <c r="G340" s="1"/>
      <c r="H340" s="1"/>
      <c r="I340" s="4"/>
      <c r="J340" s="1"/>
      <c r="K340" s="1"/>
      <c r="L340" s="4"/>
      <c r="M340" s="1"/>
      <c r="N340" s="3"/>
      <c r="O340" s="1"/>
      <c r="P340" s="3"/>
      <c r="Q340" s="1"/>
      <c r="R340" s="1"/>
      <c r="S340" s="1"/>
    </row>
    <row r="341" spans="2:19" ht="15.6" x14ac:dyDescent="0.3">
      <c r="B341" s="1" t="s">
        <v>1142</v>
      </c>
      <c r="C341" s="1"/>
      <c r="D341" s="1"/>
      <c r="E341" s="2"/>
      <c r="F341" s="1"/>
      <c r="G341" s="1"/>
      <c r="H341" s="1"/>
      <c r="I341" s="1"/>
      <c r="J341" s="1"/>
      <c r="K341" s="1"/>
      <c r="L341" s="4"/>
      <c r="M341" s="1"/>
      <c r="N341" s="3"/>
      <c r="O341" s="1"/>
      <c r="P341" s="3"/>
      <c r="Q341" s="1"/>
      <c r="R341" s="1"/>
      <c r="S341" s="1"/>
    </row>
    <row r="342" spans="2:19" ht="15.6" x14ac:dyDescent="0.3">
      <c r="B342" s="1" t="s">
        <v>1143</v>
      </c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3"/>
      <c r="O342" s="1"/>
      <c r="P342" s="3"/>
      <c r="Q342" s="1"/>
      <c r="R342" s="1"/>
      <c r="S342" s="1"/>
    </row>
    <row r="343" spans="2:19" ht="15.6" x14ac:dyDescent="0.3">
      <c r="B343" s="1" t="s">
        <v>1144</v>
      </c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3"/>
      <c r="O343" s="1"/>
      <c r="P343" s="3"/>
      <c r="Q343" s="1"/>
      <c r="R343" s="1"/>
      <c r="S343" s="1"/>
    </row>
    <row r="344" spans="2:19" ht="15.6" x14ac:dyDescent="0.3">
      <c r="B344" s="1" t="s">
        <v>1145</v>
      </c>
      <c r="C344" s="1"/>
      <c r="D344" s="1"/>
      <c r="E344" s="2"/>
      <c r="F344" s="1"/>
      <c r="G344" s="1"/>
      <c r="H344" s="1"/>
      <c r="I344" s="1"/>
      <c r="J344" s="1"/>
      <c r="K344" s="1"/>
      <c r="L344" s="4"/>
      <c r="M344" s="1"/>
      <c r="N344" s="3"/>
      <c r="O344" s="1"/>
      <c r="P344" s="3"/>
      <c r="Q344" s="1"/>
      <c r="R344" s="1"/>
      <c r="S344" s="1"/>
    </row>
    <row r="345" spans="2:19" ht="15.6" x14ac:dyDescent="0.3">
      <c r="B345" s="1" t="s">
        <v>1146</v>
      </c>
      <c r="C345" s="1"/>
      <c r="D345" s="1"/>
      <c r="E345" s="2"/>
      <c r="F345" s="1"/>
      <c r="G345" s="1"/>
      <c r="H345" s="1"/>
      <c r="I345" s="1"/>
      <c r="J345" s="1"/>
      <c r="K345" s="1"/>
      <c r="L345" s="4"/>
      <c r="M345" s="1"/>
      <c r="N345" s="3"/>
      <c r="O345" s="1"/>
      <c r="P345" s="3"/>
      <c r="Q345" s="1"/>
      <c r="R345" s="1"/>
      <c r="S345" s="1"/>
    </row>
    <row r="346" spans="2:19" ht="15.6" x14ac:dyDescent="0.3">
      <c r="B346" s="1" t="s">
        <v>1147</v>
      </c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3"/>
      <c r="O346" s="1"/>
      <c r="P346" s="3"/>
      <c r="Q346" s="1"/>
      <c r="R346" s="1"/>
      <c r="S346" s="1"/>
    </row>
    <row r="347" spans="2:19" ht="15.6" x14ac:dyDescent="0.3">
      <c r="B347" s="1" t="s">
        <v>1148</v>
      </c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3"/>
      <c r="O347" s="1"/>
      <c r="P347" s="3"/>
      <c r="Q347" s="1"/>
      <c r="R347" s="1"/>
      <c r="S347" s="1"/>
    </row>
    <row r="348" spans="2:19" ht="15.6" x14ac:dyDescent="0.3">
      <c r="B348" s="1" t="s">
        <v>1149</v>
      </c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3"/>
      <c r="O348" s="1"/>
      <c r="P348" s="3"/>
      <c r="Q348" s="1"/>
      <c r="R348" s="1"/>
      <c r="S348" s="1"/>
    </row>
    <row r="349" spans="2:19" ht="15.6" x14ac:dyDescent="0.3">
      <c r="B349" s="1" t="s">
        <v>1150</v>
      </c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3"/>
      <c r="O349" s="1"/>
      <c r="P349" s="6"/>
      <c r="Q349" s="1"/>
      <c r="R349" s="1"/>
      <c r="S349" s="1"/>
    </row>
    <row r="350" spans="2:19" ht="15.6" x14ac:dyDescent="0.3">
      <c r="B350" s="1" t="s">
        <v>1151</v>
      </c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4"/>
      <c r="N350" s="3"/>
      <c r="O350" s="1"/>
      <c r="P350" s="3"/>
      <c r="Q350" s="1"/>
      <c r="R350" s="1"/>
      <c r="S350" s="1"/>
    </row>
    <row r="351" spans="2:19" ht="15.6" x14ac:dyDescent="0.3">
      <c r="B351" s="1" t="s">
        <v>1152</v>
      </c>
      <c r="C351" s="1"/>
      <c r="D351" s="1"/>
      <c r="E351" s="2"/>
      <c r="F351" s="1"/>
      <c r="G351" s="1"/>
      <c r="H351" s="1"/>
      <c r="I351" s="1"/>
      <c r="J351" s="4"/>
      <c r="K351" s="1"/>
      <c r="L351" s="1"/>
      <c r="M351" s="1"/>
      <c r="N351" s="3"/>
      <c r="O351" s="1"/>
      <c r="P351" s="3"/>
      <c r="Q351" s="1"/>
      <c r="R351" s="1"/>
      <c r="S351" s="1"/>
    </row>
    <row r="352" spans="2:19" ht="15.6" x14ac:dyDescent="0.3">
      <c r="B352" s="1" t="s">
        <v>1153</v>
      </c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3"/>
      <c r="O352" s="1"/>
      <c r="P352" s="3"/>
      <c r="Q352" s="1"/>
      <c r="R352" s="1"/>
      <c r="S352" s="1"/>
    </row>
    <row r="353" spans="2:19" ht="15.6" x14ac:dyDescent="0.3">
      <c r="B353" s="1" t="s">
        <v>1154</v>
      </c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3"/>
      <c r="O353" s="1"/>
      <c r="P353" s="6"/>
      <c r="Q353" s="1"/>
      <c r="R353" s="1"/>
      <c r="S353" s="1"/>
    </row>
    <row r="354" spans="2:19" ht="15.6" x14ac:dyDescent="0.3">
      <c r="B354" s="1" t="s">
        <v>1155</v>
      </c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3"/>
      <c r="O354" s="1"/>
      <c r="P354" s="3"/>
      <c r="Q354" s="1"/>
      <c r="R354" s="1"/>
      <c r="S354" s="1"/>
    </row>
    <row r="355" spans="2:19" ht="15.6" x14ac:dyDescent="0.3">
      <c r="B355" s="1" t="s">
        <v>1156</v>
      </c>
      <c r="C355" s="1"/>
      <c r="D355" s="1"/>
      <c r="E355" s="2"/>
      <c r="F355" s="1"/>
      <c r="G355" s="1"/>
      <c r="H355" s="1"/>
      <c r="I355" s="1"/>
      <c r="J355" s="1"/>
      <c r="K355" s="1"/>
      <c r="L355" s="4"/>
      <c r="M355" s="1"/>
      <c r="N355" s="3"/>
      <c r="O355" s="1"/>
      <c r="P355" s="3"/>
      <c r="Q355" s="1"/>
      <c r="R355" s="1"/>
      <c r="S355" s="1"/>
    </row>
    <row r="356" spans="2:19" ht="15.6" x14ac:dyDescent="0.3">
      <c r="B356" s="1" t="s">
        <v>1157</v>
      </c>
      <c r="C356" s="1"/>
      <c r="D356" s="1"/>
      <c r="E356" s="2"/>
      <c r="F356" s="1"/>
      <c r="G356" s="1"/>
      <c r="H356" s="1"/>
      <c r="I356" s="1"/>
      <c r="J356" s="1"/>
      <c r="K356" s="1"/>
      <c r="L356" s="4"/>
      <c r="M356" s="1"/>
      <c r="N356" s="3"/>
      <c r="O356" s="1"/>
      <c r="P356" s="1"/>
      <c r="Q356" s="1"/>
      <c r="R356" s="1"/>
      <c r="S356" s="1"/>
    </row>
    <row r="357" spans="2:19" ht="15.6" x14ac:dyDescent="0.3">
      <c r="B357" s="1" t="s">
        <v>1158</v>
      </c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4"/>
      <c r="N357" s="3"/>
      <c r="O357" s="1"/>
      <c r="P357" s="3"/>
      <c r="Q357" s="1"/>
      <c r="R357" s="1"/>
      <c r="S357" s="1"/>
    </row>
    <row r="358" spans="2:19" ht="15.6" x14ac:dyDescent="0.3">
      <c r="B358" s="1" t="s">
        <v>1159</v>
      </c>
      <c r="C358" s="1"/>
      <c r="D358" s="1"/>
      <c r="E358" s="2"/>
      <c r="F358" s="1"/>
      <c r="G358" s="1"/>
      <c r="H358" s="1"/>
      <c r="I358" s="1"/>
      <c r="J358" s="1"/>
      <c r="K358" s="1"/>
      <c r="L358" s="4"/>
      <c r="M358" s="4"/>
      <c r="N358" s="3"/>
      <c r="O358" s="1"/>
      <c r="P358" s="3"/>
      <c r="Q358" s="4"/>
      <c r="R358" s="1"/>
      <c r="S358" s="1"/>
    </row>
    <row r="359" spans="2:19" ht="15.6" x14ac:dyDescent="0.3">
      <c r="B359" s="1" t="s">
        <v>1160</v>
      </c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3"/>
      <c r="O359" s="1"/>
      <c r="P359" s="3"/>
      <c r="Q359" s="1"/>
      <c r="R359" s="1"/>
      <c r="S359" s="1"/>
    </row>
    <row r="360" spans="2:19" ht="15.6" x14ac:dyDescent="0.3">
      <c r="B360" s="1" t="s">
        <v>1161</v>
      </c>
      <c r="C360" s="1"/>
      <c r="D360" s="1"/>
      <c r="E360" s="2"/>
      <c r="F360" s="1"/>
      <c r="G360" s="1"/>
      <c r="H360" s="1"/>
      <c r="I360" s="1"/>
      <c r="J360" s="4"/>
      <c r="K360" s="1"/>
      <c r="L360" s="1"/>
      <c r="M360" s="1"/>
      <c r="N360" s="3"/>
      <c r="O360" s="1"/>
      <c r="P360" s="3"/>
      <c r="Q360" s="1"/>
      <c r="R360" s="1"/>
      <c r="S360" s="1"/>
    </row>
    <row r="361" spans="2:19" ht="15.6" x14ac:dyDescent="0.3">
      <c r="B361" s="1" t="s">
        <v>1162</v>
      </c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3"/>
      <c r="O361" s="1"/>
      <c r="P361" s="3"/>
      <c r="Q361" s="1"/>
      <c r="R361" s="1"/>
      <c r="S361" s="1"/>
    </row>
    <row r="362" spans="2:19" ht="15.6" x14ac:dyDescent="0.3">
      <c r="B362" s="1" t="s">
        <v>1163</v>
      </c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3"/>
      <c r="O362" s="1"/>
      <c r="P362" s="3"/>
      <c r="Q362" s="1"/>
      <c r="R362" s="1"/>
      <c r="S362" s="1"/>
    </row>
    <row r="363" spans="2:19" ht="15.6" x14ac:dyDescent="0.3">
      <c r="B363" s="1" t="s">
        <v>1164</v>
      </c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3"/>
      <c r="O363" s="1"/>
      <c r="P363" s="3"/>
      <c r="Q363" s="1"/>
      <c r="R363" s="1"/>
      <c r="S363" s="1"/>
    </row>
    <row r="364" spans="2:19" ht="15.6" x14ac:dyDescent="0.3">
      <c r="B364" s="1" t="s">
        <v>1165</v>
      </c>
      <c r="C364" s="1"/>
      <c r="D364" s="1"/>
      <c r="E364" s="2"/>
      <c r="F364" s="1"/>
      <c r="G364" s="1"/>
      <c r="H364" s="1"/>
      <c r="I364" s="1"/>
      <c r="J364" s="1"/>
      <c r="K364" s="1"/>
      <c r="L364" s="4"/>
      <c r="M364" s="1"/>
      <c r="N364" s="3"/>
      <c r="O364" s="1"/>
      <c r="P364" s="3"/>
      <c r="Q364" s="1"/>
      <c r="R364" s="1"/>
      <c r="S364" s="1"/>
    </row>
    <row r="365" spans="2:19" ht="15.6" x14ac:dyDescent="0.3">
      <c r="B365" s="1" t="s">
        <v>1166</v>
      </c>
      <c r="C365" s="1"/>
      <c r="D365" s="1"/>
      <c r="E365" s="2"/>
      <c r="F365" s="1"/>
      <c r="G365" s="1"/>
      <c r="H365" s="1"/>
      <c r="I365" s="1"/>
      <c r="J365" s="1"/>
      <c r="K365" s="1"/>
      <c r="L365" s="4"/>
      <c r="M365" s="1"/>
      <c r="N365" s="1"/>
      <c r="O365" s="1"/>
      <c r="P365" s="3"/>
      <c r="Q365" s="1"/>
      <c r="R365" s="1"/>
      <c r="S365" s="1"/>
    </row>
    <row r="366" spans="2:19" ht="15.6" x14ac:dyDescent="0.3">
      <c r="B366" s="1" t="s">
        <v>1167</v>
      </c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3"/>
      <c r="O366" s="1"/>
      <c r="P366" s="3"/>
      <c r="Q366" s="1"/>
      <c r="R366" s="1"/>
      <c r="S366" s="1"/>
    </row>
    <row r="367" spans="2:19" ht="15.6" x14ac:dyDescent="0.3">
      <c r="B367" s="1" t="s">
        <v>1168</v>
      </c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3"/>
      <c r="O367" s="1"/>
      <c r="P367" s="3"/>
      <c r="Q367" s="1"/>
      <c r="R367" s="1"/>
      <c r="S367" s="1"/>
    </row>
    <row r="368" spans="2:19" ht="15.6" x14ac:dyDescent="0.3">
      <c r="B368" s="1" t="s">
        <v>1169</v>
      </c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4"/>
      <c r="N368" s="3"/>
      <c r="O368" s="1"/>
      <c r="P368" s="3"/>
      <c r="Q368" s="1"/>
      <c r="R368" s="1"/>
      <c r="S368" s="1"/>
    </row>
    <row r="369" spans="2:19" ht="15.6" x14ac:dyDescent="0.3">
      <c r="B369" s="1" t="s">
        <v>1170</v>
      </c>
      <c r="C369" s="1"/>
      <c r="D369" s="1"/>
      <c r="E369" s="2"/>
      <c r="F369" s="1"/>
      <c r="G369" s="1"/>
      <c r="H369" s="1"/>
      <c r="I369" s="1"/>
      <c r="J369" s="1"/>
      <c r="K369" s="1"/>
      <c r="L369" s="4"/>
      <c r="M369" s="1"/>
      <c r="N369" s="3"/>
      <c r="O369" s="1"/>
      <c r="P369" s="3"/>
      <c r="Q369" s="1"/>
      <c r="R369" s="1"/>
      <c r="S369" s="1"/>
    </row>
    <row r="370" spans="2:19" ht="15.6" x14ac:dyDescent="0.3">
      <c r="B370" s="1" t="s">
        <v>1171</v>
      </c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3"/>
      <c r="O370" s="1"/>
      <c r="P370" s="3"/>
      <c r="Q370" s="1"/>
      <c r="R370" s="1"/>
      <c r="S370" s="1"/>
    </row>
    <row r="371" spans="2:19" ht="15.6" x14ac:dyDescent="0.3">
      <c r="B371" s="1" t="s">
        <v>1172</v>
      </c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4"/>
      <c r="N371" s="3"/>
      <c r="O371" s="1"/>
      <c r="P371" s="3"/>
      <c r="Q371" s="1"/>
      <c r="R371" s="1"/>
      <c r="S371" s="1"/>
    </row>
    <row r="372" spans="2:19" ht="15.6" x14ac:dyDescent="0.3">
      <c r="B372" s="1" t="s">
        <v>1173</v>
      </c>
      <c r="C372" s="1"/>
      <c r="D372" s="1"/>
      <c r="E372" s="2"/>
      <c r="F372" s="1"/>
      <c r="G372" s="1"/>
      <c r="H372" s="1"/>
      <c r="I372" s="4"/>
      <c r="J372" s="1"/>
      <c r="K372" s="1"/>
      <c r="L372" s="4"/>
      <c r="M372" s="1"/>
      <c r="N372" s="3"/>
      <c r="O372" s="1"/>
      <c r="P372" s="3"/>
      <c r="Q372" s="1"/>
      <c r="R372" s="1"/>
      <c r="S372" s="1"/>
    </row>
    <row r="373" spans="2:19" ht="15.6" x14ac:dyDescent="0.3">
      <c r="B373" s="1" t="s">
        <v>1174</v>
      </c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3"/>
      <c r="O373" s="1"/>
      <c r="P373" s="3"/>
      <c r="Q373" s="1"/>
      <c r="R373" s="1"/>
      <c r="S373" s="1"/>
    </row>
    <row r="374" spans="2:19" ht="15.6" x14ac:dyDescent="0.3">
      <c r="B374" s="1" t="s">
        <v>1175</v>
      </c>
      <c r="C374" s="1"/>
      <c r="D374" s="1"/>
      <c r="E374" s="2"/>
      <c r="F374" s="1"/>
      <c r="G374" s="1"/>
      <c r="H374" s="1"/>
      <c r="I374" s="1"/>
      <c r="J374" s="1"/>
      <c r="K374" s="1"/>
      <c r="L374" s="4"/>
      <c r="M374" s="4"/>
      <c r="N374" s="1"/>
      <c r="O374" s="1"/>
      <c r="P374" s="3"/>
      <c r="Q374" s="1"/>
      <c r="R374" s="1"/>
      <c r="S374" s="1"/>
    </row>
    <row r="375" spans="2:19" ht="15.6" x14ac:dyDescent="0.3">
      <c r="B375" s="1" t="s">
        <v>1176</v>
      </c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3"/>
      <c r="O375" s="1"/>
      <c r="P375" s="3"/>
      <c r="Q375" s="1"/>
      <c r="R375" s="1"/>
      <c r="S375" s="1"/>
    </row>
    <row r="376" spans="2:19" ht="15.6" x14ac:dyDescent="0.3">
      <c r="B376" s="1" t="s">
        <v>1177</v>
      </c>
      <c r="C376" s="1"/>
      <c r="D376" s="1"/>
      <c r="E376" s="2"/>
      <c r="F376" s="1"/>
      <c r="G376" s="1"/>
      <c r="H376" s="1"/>
      <c r="I376" s="1"/>
      <c r="J376" s="4"/>
      <c r="K376" s="1"/>
      <c r="L376" s="4"/>
      <c r="M376" s="1"/>
      <c r="N376" s="3"/>
      <c r="O376" s="1"/>
      <c r="P376" s="3"/>
      <c r="Q376" s="1"/>
      <c r="R376" s="1"/>
      <c r="S376" s="1"/>
    </row>
    <row r="377" spans="2:19" ht="15.6" x14ac:dyDescent="0.3">
      <c r="B377" s="1" t="s">
        <v>1178</v>
      </c>
      <c r="C377" s="1"/>
      <c r="D377" s="1"/>
      <c r="E377" s="2"/>
      <c r="F377" s="1"/>
      <c r="G377" s="1"/>
      <c r="H377" s="1"/>
      <c r="I377" s="1"/>
      <c r="J377" s="1"/>
      <c r="K377" s="1"/>
      <c r="L377" s="4"/>
      <c r="M377" s="1"/>
      <c r="N377" s="3"/>
      <c r="O377" s="1"/>
      <c r="P377" s="3"/>
      <c r="Q377" s="1"/>
      <c r="R377" s="1"/>
      <c r="S377" s="1"/>
    </row>
    <row r="378" spans="2:19" ht="15.6" x14ac:dyDescent="0.3">
      <c r="B378" s="1" t="s">
        <v>1179</v>
      </c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4"/>
      <c r="N378" s="3"/>
      <c r="O378" s="1"/>
      <c r="P378" s="3"/>
      <c r="Q378" s="1"/>
      <c r="R378" s="1"/>
      <c r="S378" s="1"/>
    </row>
    <row r="379" spans="2:19" ht="15.6" x14ac:dyDescent="0.3">
      <c r="B379" s="1" t="s">
        <v>1180</v>
      </c>
      <c r="C379" s="1"/>
      <c r="D379" s="1"/>
      <c r="E379" s="2"/>
      <c r="F379" s="1"/>
      <c r="G379" s="1"/>
      <c r="H379" s="1"/>
      <c r="I379" s="1"/>
      <c r="J379" s="1"/>
      <c r="K379" s="1"/>
      <c r="L379" s="4"/>
      <c r="M379" s="1"/>
      <c r="N379" s="3"/>
      <c r="O379" s="1"/>
      <c r="P379" s="1"/>
      <c r="Q379" s="1"/>
      <c r="R379" s="1"/>
      <c r="S379" s="1"/>
    </row>
    <row r="380" spans="2:19" ht="15.6" x14ac:dyDescent="0.3">
      <c r="B380" s="1" t="s">
        <v>1181</v>
      </c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3"/>
      <c r="O380" s="1"/>
      <c r="P380" s="6"/>
      <c r="Q380" s="1"/>
      <c r="R380" s="1"/>
      <c r="S380" s="1"/>
    </row>
    <row r="381" spans="2:19" ht="15.6" x14ac:dyDescent="0.3">
      <c r="B381" s="1" t="s">
        <v>1182</v>
      </c>
      <c r="C381" s="1"/>
      <c r="D381" s="1"/>
      <c r="E381" s="2"/>
      <c r="F381" s="1"/>
      <c r="G381" s="1"/>
      <c r="H381" s="1"/>
      <c r="I381" s="1"/>
      <c r="J381" s="1"/>
      <c r="K381" s="1"/>
      <c r="L381" s="4"/>
      <c r="M381" s="1"/>
      <c r="N381" s="3"/>
      <c r="O381" s="1"/>
      <c r="P381" s="3"/>
      <c r="Q381" s="1"/>
      <c r="R381" s="1"/>
      <c r="S381" s="1"/>
    </row>
    <row r="382" spans="2:19" ht="15.6" x14ac:dyDescent="0.3">
      <c r="B382" s="1" t="s">
        <v>1183</v>
      </c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3"/>
      <c r="O382" s="1"/>
      <c r="P382" s="3"/>
      <c r="Q382" s="1"/>
      <c r="R382" s="1"/>
      <c r="S382" s="1"/>
    </row>
    <row r="383" spans="2:19" ht="15.6" x14ac:dyDescent="0.3">
      <c r="B383" s="1" t="s">
        <v>1184</v>
      </c>
      <c r="C383" s="1"/>
      <c r="D383" s="1"/>
      <c r="E383" s="2"/>
      <c r="F383" s="1"/>
      <c r="G383" s="1"/>
      <c r="H383" s="1"/>
      <c r="I383" s="1"/>
      <c r="J383" s="1"/>
      <c r="K383" s="1"/>
      <c r="L383" s="4"/>
      <c r="M383" s="1"/>
      <c r="N383" s="3"/>
      <c r="O383" s="1"/>
      <c r="P383" s="3"/>
      <c r="Q383" s="1"/>
      <c r="R383" s="1"/>
      <c r="S383" s="1"/>
    </row>
    <row r="384" spans="2:19" ht="15.6" x14ac:dyDescent="0.3">
      <c r="B384" s="1" t="s">
        <v>1185</v>
      </c>
      <c r="C384" s="1"/>
      <c r="D384" s="1"/>
      <c r="E384" s="2"/>
      <c r="F384" s="1"/>
      <c r="G384" s="1"/>
      <c r="H384" s="1"/>
      <c r="I384" s="1"/>
      <c r="J384" s="1"/>
      <c r="K384" s="4"/>
      <c r="L384" s="4"/>
      <c r="M384" s="1"/>
      <c r="N384" s="3"/>
      <c r="O384" s="1"/>
      <c r="P384" s="3"/>
      <c r="Q384" s="1"/>
      <c r="R384" s="1"/>
      <c r="S384" s="1"/>
    </row>
    <row r="385" spans="2:19" ht="15.6" x14ac:dyDescent="0.3">
      <c r="B385" s="1" t="s">
        <v>1186</v>
      </c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3"/>
      <c r="O385" s="1"/>
      <c r="P385" s="3"/>
      <c r="Q385" s="1"/>
      <c r="R385" s="1"/>
      <c r="S385" s="1"/>
    </row>
    <row r="386" spans="2:19" ht="15.6" x14ac:dyDescent="0.3">
      <c r="B386" s="1" t="s">
        <v>1187</v>
      </c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3"/>
      <c r="O386" s="1"/>
      <c r="P386" s="3"/>
      <c r="Q386" s="4"/>
      <c r="R386" s="1"/>
      <c r="S386" s="1"/>
    </row>
    <row r="387" spans="2:19" ht="15.6" x14ac:dyDescent="0.3">
      <c r="B387" s="1" t="s">
        <v>1188</v>
      </c>
      <c r="C387" s="1"/>
      <c r="D387" s="1"/>
      <c r="E387" s="2"/>
      <c r="F387" s="1"/>
      <c r="G387" s="1"/>
      <c r="H387" s="1"/>
      <c r="I387" s="1"/>
      <c r="J387" s="1"/>
      <c r="K387" s="1"/>
      <c r="L387" s="4"/>
      <c r="M387" s="1"/>
      <c r="N387" s="3"/>
      <c r="O387" s="1"/>
      <c r="P387" s="3"/>
      <c r="Q387" s="1"/>
      <c r="R387" s="1"/>
      <c r="S387" s="1"/>
    </row>
    <row r="388" spans="2:19" ht="15.6" x14ac:dyDescent="0.3">
      <c r="B388" s="1" t="s">
        <v>1189</v>
      </c>
      <c r="C388" s="1"/>
      <c r="D388" s="1"/>
      <c r="E388" s="2"/>
      <c r="F388" s="1"/>
      <c r="G388" s="1"/>
      <c r="H388" s="1"/>
      <c r="I388" s="1"/>
      <c r="J388" s="4"/>
      <c r="K388" s="1"/>
      <c r="L388" s="4"/>
      <c r="M388" s="1"/>
      <c r="N388" s="3"/>
      <c r="O388" s="1"/>
      <c r="P388" s="3"/>
      <c r="Q388" s="1"/>
      <c r="R388" s="1"/>
      <c r="S388" s="1"/>
    </row>
    <row r="389" spans="2:19" ht="15.6" x14ac:dyDescent="0.3">
      <c r="B389" s="1" t="s">
        <v>1190</v>
      </c>
      <c r="C389" s="1"/>
      <c r="D389" s="1"/>
      <c r="E389" s="2"/>
      <c r="F389" s="1"/>
      <c r="G389" s="1"/>
      <c r="H389" s="1"/>
      <c r="I389" s="1"/>
      <c r="J389" s="1"/>
      <c r="K389" s="1"/>
      <c r="L389" s="4"/>
      <c r="M389" s="4"/>
      <c r="N389" s="3"/>
      <c r="O389" s="1"/>
      <c r="P389" s="3"/>
      <c r="Q389" s="1"/>
      <c r="R389" s="1"/>
      <c r="S389" s="1"/>
    </row>
    <row r="390" spans="2:19" ht="15.6" x14ac:dyDescent="0.3">
      <c r="B390" s="1" t="s">
        <v>1191</v>
      </c>
      <c r="C390" s="1"/>
      <c r="D390" s="1"/>
      <c r="E390" s="2"/>
      <c r="F390" s="1"/>
      <c r="G390" s="1"/>
      <c r="H390" s="1"/>
      <c r="I390" s="4"/>
      <c r="J390" s="1"/>
      <c r="K390" s="1"/>
      <c r="L390" s="4"/>
      <c r="M390" s="1"/>
      <c r="N390" s="3"/>
      <c r="O390" s="1"/>
      <c r="P390" s="3"/>
      <c r="Q390" s="1"/>
      <c r="R390" s="1"/>
      <c r="S390" s="1"/>
    </row>
    <row r="391" spans="2:19" ht="15.6" x14ac:dyDescent="0.3">
      <c r="B391" s="1" t="s">
        <v>1192</v>
      </c>
      <c r="C391" s="1"/>
      <c r="D391" s="1"/>
      <c r="E391" s="2"/>
      <c r="F391" s="1"/>
      <c r="G391" s="1"/>
      <c r="H391" s="1"/>
      <c r="I391" s="1"/>
      <c r="J391" s="1"/>
      <c r="K391" s="4"/>
      <c r="L391" s="4"/>
      <c r="M391" s="1"/>
      <c r="N391" s="3"/>
      <c r="O391" s="1"/>
      <c r="P391" s="3"/>
      <c r="Q391" s="1"/>
      <c r="R391" s="1"/>
      <c r="S391" s="1"/>
    </row>
    <row r="392" spans="2:19" ht="15.6" x14ac:dyDescent="0.3">
      <c r="B392" s="1" t="s">
        <v>1193</v>
      </c>
      <c r="C392" s="1"/>
      <c r="D392" s="1"/>
      <c r="E392" s="2"/>
      <c r="F392" s="1"/>
      <c r="G392" s="1"/>
      <c r="H392" s="1"/>
      <c r="I392" s="1"/>
      <c r="J392" s="1"/>
      <c r="K392" s="1"/>
      <c r="L392" s="4"/>
      <c r="M392" s="1"/>
      <c r="N392" s="3"/>
      <c r="O392" s="1"/>
      <c r="P392" s="3"/>
      <c r="Q392" s="1"/>
      <c r="R392" s="1"/>
      <c r="S392" s="1"/>
    </row>
    <row r="393" spans="2:19" ht="15.6" x14ac:dyDescent="0.3">
      <c r="B393" s="1" t="s">
        <v>1194</v>
      </c>
      <c r="C393" s="1"/>
      <c r="D393" s="1"/>
      <c r="E393" s="2"/>
      <c r="F393" s="1"/>
      <c r="G393" s="1"/>
      <c r="H393" s="1"/>
      <c r="I393" s="1"/>
      <c r="J393" s="1"/>
      <c r="K393" s="1"/>
      <c r="L393" s="4"/>
      <c r="M393" s="1"/>
      <c r="N393" s="3"/>
      <c r="O393" s="1"/>
      <c r="P393" s="3"/>
      <c r="Q393" s="1"/>
      <c r="R393" s="1"/>
      <c r="S393" s="1"/>
    </row>
    <row r="394" spans="2:19" ht="15.6" x14ac:dyDescent="0.3">
      <c r="B394" s="1" t="s">
        <v>1195</v>
      </c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4"/>
      <c r="N394" s="3"/>
      <c r="O394" s="1"/>
      <c r="P394" s="3"/>
      <c r="Q394" s="1"/>
      <c r="R394" s="1"/>
      <c r="S394" s="1"/>
    </row>
    <row r="395" spans="2:19" ht="15.6" x14ac:dyDescent="0.3">
      <c r="B395" s="1" t="s">
        <v>1196</v>
      </c>
      <c r="C395" s="1"/>
      <c r="D395" s="1"/>
      <c r="E395" s="2"/>
      <c r="F395" s="1"/>
      <c r="G395" s="1"/>
      <c r="H395" s="1"/>
      <c r="I395" s="1"/>
      <c r="J395" s="1"/>
      <c r="K395" s="1"/>
      <c r="L395" s="4"/>
      <c r="M395" s="1"/>
      <c r="N395" s="3"/>
      <c r="O395" s="1"/>
      <c r="P395" s="3"/>
      <c r="Q395" s="1"/>
      <c r="R395" s="1"/>
      <c r="S395" s="1"/>
    </row>
    <row r="396" spans="2:19" ht="15.6" x14ac:dyDescent="0.3">
      <c r="B396" s="1" t="s">
        <v>1197</v>
      </c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3"/>
      <c r="Q396" s="1"/>
      <c r="R396" s="1"/>
      <c r="S396" s="1"/>
    </row>
    <row r="397" spans="2:19" ht="15.6" x14ac:dyDescent="0.3">
      <c r="B397" s="1" t="s">
        <v>1198</v>
      </c>
      <c r="C397" s="1"/>
      <c r="D397" s="1"/>
      <c r="E397" s="2"/>
      <c r="F397" s="1"/>
      <c r="G397" s="1"/>
      <c r="H397" s="1"/>
      <c r="I397" s="1"/>
      <c r="J397" s="1"/>
      <c r="K397" s="1"/>
      <c r="L397" s="4"/>
      <c r="M397" s="1"/>
      <c r="N397" s="1"/>
      <c r="O397" s="1"/>
      <c r="P397" s="3"/>
      <c r="Q397" s="1"/>
      <c r="R397" s="1"/>
      <c r="S397" s="1"/>
    </row>
    <row r="398" spans="2:19" ht="15.6" x14ac:dyDescent="0.3">
      <c r="B398" s="1" t="s">
        <v>1199</v>
      </c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3"/>
      <c r="O398" s="1"/>
      <c r="P398" s="3"/>
      <c r="Q398" s="1"/>
      <c r="R398" s="1"/>
      <c r="S398" s="1"/>
    </row>
    <row r="399" spans="2:19" ht="15.6" x14ac:dyDescent="0.3">
      <c r="B399" s="1" t="s">
        <v>1200</v>
      </c>
      <c r="C399" s="1"/>
      <c r="D399" s="1"/>
      <c r="E399" s="2"/>
      <c r="F399" s="1"/>
      <c r="G399" s="1"/>
      <c r="H399" s="1"/>
      <c r="I399" s="1"/>
      <c r="J399" s="1"/>
      <c r="K399" s="1"/>
      <c r="L399" s="4"/>
      <c r="M399" s="1"/>
      <c r="N399" s="3"/>
      <c r="O399" s="1"/>
      <c r="P399" s="3"/>
      <c r="Q399" s="1"/>
      <c r="R399" s="1"/>
      <c r="S399" s="1"/>
    </row>
    <row r="400" spans="2:19" ht="15.6" x14ac:dyDescent="0.3">
      <c r="B400" s="1" t="s">
        <v>1201</v>
      </c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3"/>
      <c r="O400" s="1"/>
      <c r="P400" s="3"/>
      <c r="Q400" s="1"/>
      <c r="R400" s="1"/>
      <c r="S400" s="1"/>
    </row>
    <row r="401" spans="2:19" ht="15.6" x14ac:dyDescent="0.3">
      <c r="B401" s="1" t="s">
        <v>1202</v>
      </c>
      <c r="C401" s="1"/>
      <c r="D401" s="1"/>
      <c r="E401" s="2"/>
      <c r="F401" s="1"/>
      <c r="G401" s="1"/>
      <c r="H401" s="1"/>
      <c r="I401" s="1"/>
      <c r="J401" s="1"/>
      <c r="K401" s="1"/>
      <c r="L401" s="4"/>
      <c r="M401" s="4"/>
      <c r="N401" s="3"/>
      <c r="O401" s="1"/>
      <c r="P401" s="3"/>
      <c r="Q401" s="1"/>
      <c r="R401" s="1"/>
      <c r="S401" s="1"/>
    </row>
    <row r="402" spans="2:19" ht="15.6" x14ac:dyDescent="0.3">
      <c r="B402" s="1" t="s">
        <v>1203</v>
      </c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3"/>
      <c r="O402" s="1"/>
      <c r="P402" s="3"/>
      <c r="Q402" s="1"/>
      <c r="R402" s="1"/>
      <c r="S402" s="1"/>
    </row>
    <row r="403" spans="2:19" ht="15.6" x14ac:dyDescent="0.3">
      <c r="B403" s="1" t="s">
        <v>1204</v>
      </c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3"/>
      <c r="O403" s="1"/>
      <c r="P403" s="3"/>
      <c r="Q403" s="1"/>
      <c r="R403" s="1"/>
      <c r="S403" s="1"/>
    </row>
    <row r="404" spans="2:19" ht="15.6" x14ac:dyDescent="0.3">
      <c r="B404" s="1" t="s">
        <v>1205</v>
      </c>
      <c r="C404" s="1"/>
      <c r="D404" s="1"/>
      <c r="E404" s="2"/>
      <c r="F404" s="1"/>
      <c r="G404" s="1"/>
      <c r="H404" s="1"/>
      <c r="I404" s="1"/>
      <c r="J404" s="1"/>
      <c r="K404" s="1"/>
      <c r="L404" s="4"/>
      <c r="M404" s="1"/>
      <c r="N404" s="3"/>
      <c r="O404" s="1"/>
      <c r="P404" s="3"/>
      <c r="Q404" s="1"/>
      <c r="R404" s="1"/>
      <c r="S404" s="1"/>
    </row>
    <row r="405" spans="2:19" ht="15.6" x14ac:dyDescent="0.3">
      <c r="B405" s="1" t="s">
        <v>1206</v>
      </c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3"/>
      <c r="O405" s="1"/>
      <c r="P405" s="3"/>
      <c r="Q405" s="1"/>
      <c r="R405" s="1"/>
      <c r="S405" s="1"/>
    </row>
    <row r="406" spans="2:19" ht="15.6" x14ac:dyDescent="0.3">
      <c r="B406" s="1" t="s">
        <v>1207</v>
      </c>
      <c r="C406" s="1"/>
      <c r="D406" s="1"/>
      <c r="E406" s="2"/>
      <c r="F406" s="1"/>
      <c r="G406" s="1"/>
      <c r="H406" s="1"/>
      <c r="I406" s="1"/>
      <c r="J406" s="1"/>
      <c r="K406" s="1"/>
      <c r="L406" s="4"/>
      <c r="M406" s="1"/>
      <c r="N406" s="3"/>
      <c r="O406" s="1"/>
      <c r="P406" s="3"/>
      <c r="Q406" s="4"/>
      <c r="R406" s="1"/>
      <c r="S406" s="1"/>
    </row>
    <row r="407" spans="2:19" ht="15.6" x14ac:dyDescent="0.3">
      <c r="B407" s="1" t="s">
        <v>1208</v>
      </c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3"/>
      <c r="O407" s="1"/>
      <c r="P407" s="3"/>
      <c r="Q407" s="1"/>
      <c r="R407" s="1"/>
      <c r="S407" s="1"/>
    </row>
    <row r="408" spans="2:19" ht="15.6" x14ac:dyDescent="0.3">
      <c r="B408" s="1" t="s">
        <v>1209</v>
      </c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3"/>
      <c r="O408" s="1"/>
      <c r="P408" s="3"/>
      <c r="Q408" s="1"/>
      <c r="R408" s="1"/>
      <c r="S408" s="1"/>
    </row>
    <row r="409" spans="2:19" ht="15.6" x14ac:dyDescent="0.3">
      <c r="B409" s="1" t="s">
        <v>1210</v>
      </c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3"/>
      <c r="O409" s="1"/>
      <c r="P409" s="1"/>
      <c r="Q409" s="1"/>
      <c r="R409" s="1"/>
      <c r="S409" s="1"/>
    </row>
    <row r="410" spans="2:19" ht="15.6" x14ac:dyDescent="0.3">
      <c r="B410" s="1" t="s">
        <v>1211</v>
      </c>
      <c r="C410" s="1"/>
      <c r="D410" s="1"/>
      <c r="E410" s="2"/>
      <c r="F410" s="1"/>
      <c r="G410" s="1"/>
      <c r="H410" s="1"/>
      <c r="I410" s="1"/>
      <c r="J410" s="1"/>
      <c r="K410" s="4"/>
      <c r="L410" s="4"/>
      <c r="M410" s="1"/>
      <c r="N410" s="3"/>
      <c r="O410" s="1"/>
      <c r="P410" s="3"/>
      <c r="Q410" s="1"/>
      <c r="R410" s="1"/>
      <c r="S410" s="1"/>
    </row>
    <row r="411" spans="2:19" ht="15.6" x14ac:dyDescent="0.3">
      <c r="B411" s="1" t="s">
        <v>1212</v>
      </c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3"/>
      <c r="O411" s="1"/>
      <c r="P411" s="3"/>
      <c r="Q411" s="1"/>
      <c r="R411" s="1"/>
      <c r="S411" s="1"/>
    </row>
    <row r="412" spans="2:19" ht="15.6" x14ac:dyDescent="0.3">
      <c r="B412" s="1" t="s">
        <v>1213</v>
      </c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3"/>
      <c r="O412" s="4"/>
      <c r="P412" s="3"/>
      <c r="Q412" s="1"/>
      <c r="R412" s="1"/>
      <c r="S412" s="1"/>
    </row>
    <row r="413" spans="2:19" ht="15.6" x14ac:dyDescent="0.3">
      <c r="B413" s="1" t="s">
        <v>1214</v>
      </c>
      <c r="C413" s="1"/>
      <c r="D413" s="1"/>
      <c r="E413" s="2"/>
      <c r="F413" s="1"/>
      <c r="G413" s="1"/>
      <c r="H413" s="1"/>
      <c r="I413" s="1"/>
      <c r="J413" s="4"/>
      <c r="K413" s="1"/>
      <c r="L413" s="1"/>
      <c r="M413" s="1"/>
      <c r="N413" s="3"/>
      <c r="O413" s="1"/>
      <c r="P413" s="3"/>
      <c r="Q413" s="1"/>
      <c r="R413" s="1"/>
      <c r="S413" s="1"/>
    </row>
    <row r="414" spans="2:19" ht="15.6" x14ac:dyDescent="0.3">
      <c r="B414" s="1" t="s">
        <v>1215</v>
      </c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3"/>
      <c r="O414" s="1"/>
      <c r="P414" s="3"/>
      <c r="Q414" s="1"/>
      <c r="R414" s="1"/>
      <c r="S414" s="1"/>
    </row>
    <row r="415" spans="2:19" ht="15.6" x14ac:dyDescent="0.3">
      <c r="B415" s="1" t="s">
        <v>1216</v>
      </c>
      <c r="C415" s="1"/>
      <c r="D415" s="1"/>
      <c r="E415" s="2"/>
      <c r="F415" s="1"/>
      <c r="G415" s="1"/>
      <c r="H415" s="1"/>
      <c r="I415" s="1"/>
      <c r="J415" s="1"/>
      <c r="K415" s="1"/>
      <c r="L415" s="4"/>
      <c r="M415" s="1"/>
      <c r="N415" s="3"/>
      <c r="O415" s="1"/>
      <c r="P415" s="1"/>
      <c r="Q415" s="1"/>
      <c r="R415" s="1"/>
      <c r="S415" s="1"/>
    </row>
    <row r="416" spans="2:19" ht="15.6" x14ac:dyDescent="0.3">
      <c r="B416" s="1" t="s">
        <v>1217</v>
      </c>
      <c r="C416" s="1"/>
      <c r="D416" s="1"/>
      <c r="E416" s="2"/>
      <c r="F416" s="1"/>
      <c r="G416" s="1"/>
      <c r="H416" s="1"/>
      <c r="I416" s="1"/>
      <c r="J416" s="1"/>
      <c r="K416" s="1"/>
      <c r="L416" s="4"/>
      <c r="M416" s="1"/>
      <c r="N416" s="3"/>
      <c r="O416" s="1"/>
      <c r="P416" s="3"/>
      <c r="Q416" s="1"/>
      <c r="R416" s="1"/>
      <c r="S416" s="1"/>
    </row>
    <row r="417" spans="2:19" ht="15.6" x14ac:dyDescent="0.3">
      <c r="B417" s="1" t="s">
        <v>1218</v>
      </c>
      <c r="C417" s="1"/>
      <c r="D417" s="1"/>
      <c r="E417" s="2"/>
      <c r="F417" s="1"/>
      <c r="G417" s="1"/>
      <c r="H417" s="1"/>
      <c r="I417" s="1"/>
      <c r="J417" s="1"/>
      <c r="K417" s="1"/>
      <c r="L417" s="4"/>
      <c r="M417" s="4"/>
      <c r="N417" s="3"/>
      <c r="O417" s="1"/>
      <c r="P417" s="1"/>
      <c r="Q417" s="1"/>
      <c r="R417" s="1"/>
      <c r="S417" s="1"/>
    </row>
    <row r="418" spans="2:19" ht="15.6" x14ac:dyDescent="0.3">
      <c r="B418" s="1" t="s">
        <v>1219</v>
      </c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3"/>
      <c r="O418" s="1"/>
      <c r="P418" s="3"/>
      <c r="Q418" s="1"/>
      <c r="R418" s="1"/>
      <c r="S418" s="1"/>
    </row>
    <row r="419" spans="2:19" ht="15.6" x14ac:dyDescent="0.3">
      <c r="B419" s="1" t="s">
        <v>1220</v>
      </c>
      <c r="C419" s="1"/>
      <c r="D419" s="1"/>
      <c r="E419" s="2"/>
      <c r="F419" s="1"/>
      <c r="G419" s="1"/>
      <c r="H419" s="1"/>
      <c r="I419" s="1"/>
      <c r="J419" s="1"/>
      <c r="K419" s="4"/>
      <c r="L419" s="1"/>
      <c r="M419" s="1"/>
      <c r="N419" s="3"/>
      <c r="O419" s="1"/>
      <c r="P419" s="3"/>
      <c r="Q419" s="1"/>
      <c r="R419" s="1"/>
      <c r="S419" s="1"/>
    </row>
    <row r="420" spans="2:19" ht="15.6" x14ac:dyDescent="0.3">
      <c r="B420" s="1" t="s">
        <v>1221</v>
      </c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3"/>
      <c r="Q420" s="1"/>
      <c r="R420" s="1"/>
      <c r="S420" s="1"/>
    </row>
    <row r="421" spans="2:19" ht="15.6" x14ac:dyDescent="0.3">
      <c r="B421" s="1" t="s">
        <v>1222</v>
      </c>
      <c r="C421" s="1"/>
      <c r="D421" s="1"/>
      <c r="E421" s="2"/>
      <c r="F421" s="1"/>
      <c r="G421" s="1"/>
      <c r="H421" s="1"/>
      <c r="I421" s="1"/>
      <c r="J421" s="1"/>
      <c r="K421" s="1"/>
      <c r="L421" s="4"/>
      <c r="M421" s="1"/>
      <c r="N421" s="3"/>
      <c r="O421" s="1"/>
      <c r="P421" s="3"/>
      <c r="Q421" s="4"/>
      <c r="R421" s="1"/>
      <c r="S421" s="1"/>
    </row>
    <row r="422" spans="2:19" ht="15.6" x14ac:dyDescent="0.3">
      <c r="B422" s="1" t="s">
        <v>1223</v>
      </c>
      <c r="C422" s="1"/>
      <c r="D422" s="1"/>
      <c r="E422" s="2"/>
      <c r="F422" s="1"/>
      <c r="G422" s="1"/>
      <c r="H422" s="1"/>
      <c r="I422" s="1"/>
      <c r="J422" s="1"/>
      <c r="K422" s="1"/>
      <c r="L422" s="4"/>
      <c r="M422" s="1"/>
      <c r="N422" s="3"/>
      <c r="O422" s="1"/>
      <c r="P422" s="3"/>
      <c r="Q422" s="1"/>
      <c r="R422" s="1"/>
      <c r="S422" s="1"/>
    </row>
    <row r="423" spans="2:19" ht="15.6" x14ac:dyDescent="0.3">
      <c r="B423" s="1" t="s">
        <v>1224</v>
      </c>
      <c r="C423" s="1"/>
      <c r="D423" s="1"/>
      <c r="E423" s="2"/>
      <c r="F423" s="1"/>
      <c r="G423" s="1"/>
      <c r="H423" s="1"/>
      <c r="I423" s="1"/>
      <c r="J423" s="1"/>
      <c r="K423" s="1"/>
      <c r="L423" s="4"/>
      <c r="M423" s="1"/>
      <c r="N423" s="3"/>
      <c r="O423" s="1"/>
      <c r="P423" s="3"/>
      <c r="Q423" s="1"/>
      <c r="R423" s="1"/>
      <c r="S423" s="1"/>
    </row>
    <row r="424" spans="2:19" ht="15.6" x14ac:dyDescent="0.3">
      <c r="B424" s="1" t="s">
        <v>1225</v>
      </c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3"/>
      <c r="O424" s="1"/>
      <c r="P424" s="3"/>
      <c r="Q424" s="1"/>
      <c r="R424" s="1"/>
      <c r="S424" s="1"/>
    </row>
    <row r="425" spans="2:19" ht="15.6" x14ac:dyDescent="0.3">
      <c r="B425" s="1" t="s">
        <v>1226</v>
      </c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4"/>
      <c r="N425" s="3"/>
      <c r="O425" s="1"/>
      <c r="P425" s="3"/>
      <c r="Q425" s="1"/>
      <c r="R425" s="1"/>
      <c r="S425" s="1"/>
    </row>
    <row r="426" spans="2:19" ht="15.6" x14ac:dyDescent="0.3">
      <c r="B426" s="1" t="s">
        <v>1227</v>
      </c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3"/>
      <c r="O426" s="1"/>
      <c r="P426" s="3"/>
      <c r="Q426" s="1"/>
      <c r="R426" s="1"/>
      <c r="S426" s="1"/>
    </row>
    <row r="427" spans="2:19" ht="15.6" x14ac:dyDescent="0.3">
      <c r="B427" s="1" t="s">
        <v>1228</v>
      </c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3"/>
      <c r="O427" s="1"/>
      <c r="P427" s="3"/>
      <c r="Q427" s="1"/>
      <c r="R427" s="1"/>
      <c r="S427" s="1"/>
    </row>
    <row r="428" spans="2:19" ht="15.6" x14ac:dyDescent="0.3">
      <c r="B428" s="1" t="s">
        <v>1229</v>
      </c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3"/>
      <c r="O428" s="1"/>
      <c r="P428" s="3"/>
      <c r="Q428" s="1"/>
      <c r="R428" s="1"/>
      <c r="S428" s="1"/>
    </row>
    <row r="429" spans="2:19" ht="15.6" x14ac:dyDescent="0.3">
      <c r="B429" s="1" t="s">
        <v>1230</v>
      </c>
      <c r="C429" s="1"/>
      <c r="D429" s="1"/>
      <c r="E429" s="2"/>
      <c r="F429" s="1"/>
      <c r="G429" s="1"/>
      <c r="H429" s="1"/>
      <c r="I429" s="1"/>
      <c r="J429" s="1"/>
      <c r="K429" s="1"/>
      <c r="L429" s="4"/>
      <c r="M429" s="1"/>
      <c r="N429" s="3"/>
      <c r="O429" s="1"/>
      <c r="P429" s="6"/>
      <c r="Q429" s="1"/>
      <c r="R429" s="1"/>
      <c r="S429" s="1"/>
    </row>
    <row r="430" spans="2:19" ht="15.6" x14ac:dyDescent="0.3">
      <c r="B430" s="1" t="s">
        <v>1231</v>
      </c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3"/>
      <c r="O430" s="1"/>
      <c r="P430" s="3"/>
      <c r="Q430" s="1"/>
      <c r="R430" s="1"/>
      <c r="S430" s="1"/>
    </row>
    <row r="431" spans="2:19" ht="15.6" x14ac:dyDescent="0.3">
      <c r="B431" s="1" t="s">
        <v>1232</v>
      </c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3"/>
      <c r="O431" s="1"/>
      <c r="P431" s="3"/>
      <c r="Q431" s="1"/>
      <c r="R431" s="1"/>
      <c r="S431" s="1"/>
    </row>
    <row r="432" spans="2:19" ht="15.6" x14ac:dyDescent="0.3">
      <c r="B432" s="1" t="s">
        <v>1233</v>
      </c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3"/>
      <c r="O432" s="1"/>
      <c r="P432" s="6"/>
      <c r="Q432" s="1"/>
      <c r="R432" s="1"/>
      <c r="S432" s="1"/>
    </row>
    <row r="433" spans="2:19" ht="15.6" x14ac:dyDescent="0.3">
      <c r="B433" s="1" t="s">
        <v>1234</v>
      </c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3"/>
      <c r="O433" s="1"/>
      <c r="P433" s="3"/>
      <c r="Q433" s="1"/>
      <c r="R433" s="1"/>
      <c r="S433" s="1"/>
    </row>
    <row r="434" spans="2:19" ht="15.6" x14ac:dyDescent="0.3">
      <c r="B434" s="1" t="s">
        <v>1235</v>
      </c>
      <c r="C434" s="1"/>
      <c r="D434" s="1"/>
      <c r="E434" s="2"/>
      <c r="F434" s="1"/>
      <c r="G434" s="1"/>
      <c r="H434" s="1"/>
      <c r="I434" s="1"/>
      <c r="J434" s="1"/>
      <c r="K434" s="1"/>
      <c r="L434" s="4"/>
      <c r="M434" s="1"/>
      <c r="N434" s="3"/>
      <c r="O434" s="1"/>
      <c r="P434" s="3"/>
      <c r="Q434" s="1"/>
      <c r="R434" s="1"/>
      <c r="S434" s="1"/>
    </row>
    <row r="435" spans="2:19" ht="15.6" x14ac:dyDescent="0.3">
      <c r="B435" s="1" t="s">
        <v>1236</v>
      </c>
      <c r="C435" s="1"/>
      <c r="D435" s="1"/>
      <c r="E435" s="2"/>
      <c r="F435" s="1"/>
      <c r="G435" s="1"/>
      <c r="H435" s="1"/>
      <c r="I435" s="1"/>
      <c r="J435" s="1"/>
      <c r="K435" s="1"/>
      <c r="L435" s="4"/>
      <c r="M435" s="4"/>
      <c r="N435" s="3"/>
      <c r="O435" s="1"/>
      <c r="P435" s="3"/>
      <c r="Q435" s="1"/>
      <c r="R435" s="1"/>
      <c r="S435" s="1"/>
    </row>
    <row r="436" spans="2:19" ht="15.6" x14ac:dyDescent="0.3">
      <c r="B436" s="1" t="s">
        <v>1237</v>
      </c>
      <c r="C436" s="1"/>
      <c r="D436" s="1"/>
      <c r="E436" s="2"/>
      <c r="F436" s="1"/>
      <c r="G436" s="1"/>
      <c r="H436" s="1"/>
      <c r="I436" s="1"/>
      <c r="J436" s="1"/>
      <c r="K436" s="4"/>
      <c r="L436" s="4"/>
      <c r="M436" s="1"/>
      <c r="N436" s="3"/>
      <c r="O436" s="1"/>
      <c r="P436" s="3"/>
      <c r="Q436" s="1"/>
      <c r="R436" s="1"/>
      <c r="S436" s="1"/>
    </row>
    <row r="437" spans="2:19" ht="15.6" x14ac:dyDescent="0.3">
      <c r="B437" s="1" t="s">
        <v>1238</v>
      </c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3"/>
      <c r="O437" s="1"/>
      <c r="P437" s="3"/>
      <c r="Q437" s="1"/>
      <c r="R437" s="1"/>
      <c r="S437" s="1"/>
    </row>
    <row r="438" spans="2:19" ht="15.6" x14ac:dyDescent="0.3">
      <c r="B438" s="1" t="s">
        <v>1239</v>
      </c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3"/>
      <c r="O438" s="1"/>
      <c r="P438" s="3"/>
      <c r="Q438" s="1"/>
      <c r="R438" s="1"/>
      <c r="S438" s="1"/>
    </row>
    <row r="439" spans="2:19" ht="15.6" x14ac:dyDescent="0.3">
      <c r="B439" s="1" t="s">
        <v>1240</v>
      </c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4"/>
      <c r="N439" s="3"/>
      <c r="O439" s="1"/>
      <c r="P439" s="3"/>
      <c r="Q439" s="1"/>
      <c r="R439" s="1"/>
      <c r="S439" s="1"/>
    </row>
    <row r="440" spans="2:19" ht="15.6" x14ac:dyDescent="0.3">
      <c r="B440" s="1" t="s">
        <v>1241</v>
      </c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3"/>
      <c r="O440" s="1"/>
      <c r="P440" s="3"/>
      <c r="Q440" s="1"/>
      <c r="R440" s="1"/>
      <c r="S440" s="1"/>
    </row>
    <row r="441" spans="2:19" ht="15.6" x14ac:dyDescent="0.3">
      <c r="B441" s="1" t="s">
        <v>1242</v>
      </c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3"/>
      <c r="O441" s="1"/>
      <c r="P441" s="6"/>
      <c r="Q441" s="1"/>
      <c r="R441" s="1"/>
      <c r="S441" s="1"/>
    </row>
    <row r="442" spans="2:19" ht="15.6" x14ac:dyDescent="0.3">
      <c r="B442" s="1" t="s">
        <v>1243</v>
      </c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3"/>
      <c r="O442" s="1"/>
      <c r="P442" s="3"/>
      <c r="Q442" s="1"/>
      <c r="R442" s="1"/>
      <c r="S442" s="1"/>
    </row>
    <row r="443" spans="2:19" ht="15.6" x14ac:dyDescent="0.3">
      <c r="B443" s="1" t="s">
        <v>1244</v>
      </c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3"/>
      <c r="O443" s="1"/>
      <c r="P443" s="3"/>
      <c r="Q443" s="1"/>
      <c r="R443" s="1"/>
      <c r="S443" s="1"/>
    </row>
    <row r="444" spans="2:19" ht="15.6" x14ac:dyDescent="0.3">
      <c r="B444" s="1" t="s">
        <v>1245</v>
      </c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3"/>
      <c r="O444" s="1"/>
      <c r="P444" s="3"/>
      <c r="Q444" s="1"/>
      <c r="R444" s="1"/>
      <c r="S444" s="1"/>
    </row>
    <row r="445" spans="2:19" ht="15.6" x14ac:dyDescent="0.3">
      <c r="B445" s="1" t="s">
        <v>1246</v>
      </c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3"/>
      <c r="Q445" s="1"/>
      <c r="R445" s="1"/>
      <c r="S445" s="1"/>
    </row>
    <row r="446" spans="2:19" ht="15.6" x14ac:dyDescent="0.3">
      <c r="B446" s="1" t="s">
        <v>1247</v>
      </c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3"/>
      <c r="O446" s="1"/>
      <c r="P446" s="3"/>
      <c r="Q446" s="1"/>
      <c r="R446" s="1"/>
      <c r="S446" s="1"/>
    </row>
    <row r="447" spans="2:19" ht="15.6" x14ac:dyDescent="0.3">
      <c r="B447" s="1" t="s">
        <v>1248</v>
      </c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3"/>
      <c r="O447" s="1"/>
      <c r="P447" s="3"/>
      <c r="Q447" s="1"/>
      <c r="R447" s="1"/>
      <c r="S447" s="1"/>
    </row>
    <row r="448" spans="2:19" ht="15.6" x14ac:dyDescent="0.3">
      <c r="B448" s="1" t="s">
        <v>1249</v>
      </c>
      <c r="C448" s="1"/>
      <c r="D448" s="1"/>
      <c r="E448" s="2"/>
      <c r="F448" s="1"/>
      <c r="G448" s="1"/>
      <c r="H448" s="1"/>
      <c r="I448" s="1"/>
      <c r="J448" s="1"/>
      <c r="K448" s="4"/>
      <c r="L448" s="1"/>
      <c r="M448" s="1"/>
      <c r="N448" s="3"/>
      <c r="O448" s="1"/>
      <c r="P448" s="3"/>
      <c r="Q448" s="1"/>
      <c r="R448" s="1"/>
      <c r="S448" s="1"/>
    </row>
    <row r="449" spans="2:19" ht="15.6" x14ac:dyDescent="0.3">
      <c r="B449" s="1" t="s">
        <v>1250</v>
      </c>
      <c r="C449" s="1"/>
      <c r="D449" s="1"/>
      <c r="E449" s="2"/>
      <c r="F449" s="1"/>
      <c r="G449" s="1"/>
      <c r="H449" s="1"/>
      <c r="I449" s="1"/>
      <c r="J449" s="1"/>
      <c r="K449" s="1"/>
      <c r="L449" s="4"/>
      <c r="M449" s="1"/>
      <c r="N449" s="3"/>
      <c r="O449" s="1"/>
      <c r="P449" s="3"/>
      <c r="Q449" s="1"/>
      <c r="R449" s="1"/>
      <c r="S449" s="1"/>
    </row>
    <row r="450" spans="2:19" ht="15.6" x14ac:dyDescent="0.3">
      <c r="B450" s="1" t="s">
        <v>1251</v>
      </c>
      <c r="C450" s="1"/>
      <c r="D450" s="1"/>
      <c r="E450" s="2"/>
      <c r="F450" s="1"/>
      <c r="G450" s="1"/>
      <c r="H450" s="1"/>
      <c r="I450" s="4"/>
      <c r="J450" s="1"/>
      <c r="K450" s="1"/>
      <c r="L450" s="1"/>
      <c r="M450" s="1"/>
      <c r="N450" s="3"/>
      <c r="O450" s="1"/>
      <c r="P450" s="3"/>
      <c r="Q450" s="1"/>
      <c r="R450" s="1"/>
      <c r="S450" s="1"/>
    </row>
    <row r="451" spans="2:19" ht="15.6" x14ac:dyDescent="0.3">
      <c r="B451" s="1" t="s">
        <v>1252</v>
      </c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4"/>
      <c r="N451" s="3"/>
      <c r="O451" s="1"/>
      <c r="P451" s="3"/>
      <c r="Q451" s="1"/>
      <c r="R451" s="1"/>
      <c r="S451" s="1"/>
    </row>
    <row r="452" spans="2:19" ht="15.6" x14ac:dyDescent="0.3">
      <c r="B452" s="1" t="s">
        <v>1253</v>
      </c>
      <c r="C452" s="1"/>
      <c r="D452" s="1"/>
      <c r="E452" s="2"/>
      <c r="F452" s="1"/>
      <c r="G452" s="1"/>
      <c r="H452" s="1"/>
      <c r="I452" s="1"/>
      <c r="J452" s="4"/>
      <c r="K452" s="1"/>
      <c r="L452" s="1"/>
      <c r="M452" s="4"/>
      <c r="N452" s="3"/>
      <c r="O452" s="1"/>
      <c r="P452" s="3"/>
      <c r="Q452" s="1"/>
      <c r="R452" s="1"/>
      <c r="S452" s="1"/>
    </row>
    <row r="453" spans="2:19" ht="15.6" x14ac:dyDescent="0.3">
      <c r="B453" s="1" t="s">
        <v>1254</v>
      </c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3"/>
      <c r="O453" s="1"/>
      <c r="P453" s="6"/>
      <c r="Q453" s="1"/>
      <c r="R453" s="1"/>
      <c r="S453" s="1"/>
    </row>
    <row r="454" spans="2:19" ht="15.6" x14ac:dyDescent="0.3">
      <c r="B454" s="1" t="s">
        <v>1255</v>
      </c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3"/>
      <c r="O454" s="1"/>
      <c r="P454" s="3"/>
      <c r="Q454" s="1"/>
      <c r="R454" s="1"/>
      <c r="S454" s="1"/>
    </row>
    <row r="455" spans="2:19" ht="15.6" x14ac:dyDescent="0.3">
      <c r="B455" s="1" t="s">
        <v>1256</v>
      </c>
      <c r="C455" s="1"/>
      <c r="D455" s="1"/>
      <c r="E455" s="2"/>
      <c r="F455" s="1"/>
      <c r="G455" s="1"/>
      <c r="H455" s="1"/>
      <c r="I455" s="1"/>
      <c r="J455" s="1"/>
      <c r="K455" s="4"/>
      <c r="L455" s="4"/>
      <c r="M455" s="1"/>
      <c r="N455" s="1"/>
      <c r="O455" s="1"/>
      <c r="P455" s="3"/>
      <c r="Q455" s="1"/>
      <c r="R455" s="1"/>
      <c r="S455" s="1"/>
    </row>
    <row r="456" spans="2:19" ht="15.6" x14ac:dyDescent="0.3">
      <c r="B456" s="1" t="s">
        <v>1257</v>
      </c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3"/>
      <c r="O456" s="1"/>
      <c r="P456" s="3"/>
      <c r="Q456" s="1"/>
      <c r="R456" s="1"/>
      <c r="S456" s="1"/>
    </row>
    <row r="457" spans="2:19" ht="15.6" x14ac:dyDescent="0.3">
      <c r="B457" s="1" t="s">
        <v>1258</v>
      </c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3"/>
      <c r="O457" s="1"/>
      <c r="P457" s="3"/>
      <c r="Q457" s="1"/>
      <c r="R457" s="1"/>
      <c r="S457" s="1"/>
    </row>
    <row r="458" spans="2:19" ht="15.6" x14ac:dyDescent="0.3">
      <c r="B458" s="1" t="s">
        <v>1259</v>
      </c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3"/>
      <c r="Q458" s="1"/>
      <c r="R458" s="1"/>
      <c r="S458" s="1"/>
    </row>
    <row r="459" spans="2:19" ht="15.6" x14ac:dyDescent="0.3">
      <c r="B459" s="1" t="s">
        <v>1260</v>
      </c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3"/>
      <c r="O459" s="1"/>
      <c r="P459" s="3"/>
      <c r="Q459" s="1"/>
      <c r="R459" s="1"/>
      <c r="S459" s="1"/>
    </row>
    <row r="460" spans="2:19" ht="15.6" x14ac:dyDescent="0.3">
      <c r="B460" s="1" t="s">
        <v>1261</v>
      </c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3"/>
      <c r="O460" s="1"/>
      <c r="P460" s="3"/>
      <c r="Q460" s="1"/>
      <c r="R460" s="1"/>
      <c r="S460" s="1"/>
    </row>
    <row r="461" spans="2:19" ht="15.6" x14ac:dyDescent="0.3">
      <c r="B461" s="1" t="s">
        <v>1262</v>
      </c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3"/>
      <c r="O461" s="1"/>
      <c r="P461" s="3"/>
      <c r="Q461" s="1"/>
      <c r="R461" s="1"/>
      <c r="S461" s="1"/>
    </row>
    <row r="462" spans="2:19" ht="15.6" x14ac:dyDescent="0.3">
      <c r="B462" s="1" t="s">
        <v>1263</v>
      </c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3"/>
      <c r="O462" s="1"/>
      <c r="P462" s="3"/>
      <c r="Q462" s="1"/>
      <c r="R462" s="1"/>
      <c r="S462" s="1"/>
    </row>
    <row r="463" spans="2:19" ht="15.6" x14ac:dyDescent="0.3">
      <c r="B463" s="1" t="s">
        <v>1264</v>
      </c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3"/>
      <c r="O463" s="1"/>
      <c r="P463" s="6"/>
      <c r="Q463" s="1"/>
      <c r="R463" s="1"/>
      <c r="S463" s="1"/>
    </row>
    <row r="464" spans="2:19" ht="15.6" x14ac:dyDescent="0.3">
      <c r="B464" s="1" t="s">
        <v>1265</v>
      </c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3"/>
      <c r="O464" s="1"/>
      <c r="P464" s="3"/>
      <c r="Q464" s="1"/>
      <c r="R464" s="1"/>
      <c r="S464" s="1"/>
    </row>
    <row r="465" spans="2:19" ht="15.6" x14ac:dyDescent="0.3">
      <c r="B465" s="1" t="s">
        <v>1266</v>
      </c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3"/>
      <c r="O465" s="1"/>
      <c r="P465" s="3"/>
      <c r="Q465" s="1"/>
      <c r="R465" s="1"/>
      <c r="S465" s="1"/>
    </row>
    <row r="466" spans="2:19" ht="15.6" x14ac:dyDescent="0.3">
      <c r="B466" s="1" t="s">
        <v>1267</v>
      </c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3"/>
      <c r="O466" s="1"/>
      <c r="P466" s="3"/>
      <c r="Q466" s="1"/>
      <c r="R466" s="1"/>
      <c r="S466" s="1"/>
    </row>
    <row r="467" spans="2:19" ht="15.6" x14ac:dyDescent="0.3">
      <c r="B467" s="1" t="s">
        <v>1268</v>
      </c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4"/>
      <c r="N467" s="1"/>
      <c r="O467" s="1"/>
      <c r="P467" s="3"/>
      <c r="Q467" s="1"/>
      <c r="R467" s="1"/>
      <c r="S467" s="1"/>
    </row>
    <row r="468" spans="2:19" ht="15.6" x14ac:dyDescent="0.3">
      <c r="B468" s="1" t="s">
        <v>1269</v>
      </c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3"/>
      <c r="O468" s="1"/>
      <c r="P468" s="3"/>
      <c r="Q468" s="1"/>
      <c r="R468" s="1"/>
      <c r="S468" s="1"/>
    </row>
    <row r="469" spans="2:19" ht="15.6" x14ac:dyDescent="0.3">
      <c r="B469" s="1" t="s">
        <v>1270</v>
      </c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3"/>
      <c r="O469" s="1"/>
      <c r="P469" s="3"/>
      <c r="Q469" s="1"/>
      <c r="R469" s="1"/>
      <c r="S469" s="1"/>
    </row>
    <row r="470" spans="2:19" ht="15.6" x14ac:dyDescent="0.3">
      <c r="B470" s="1" t="s">
        <v>1271</v>
      </c>
      <c r="C470" s="1"/>
      <c r="D470" s="1"/>
      <c r="E470" s="2"/>
      <c r="F470" s="1"/>
      <c r="G470" s="1"/>
      <c r="H470" s="1"/>
      <c r="I470" s="1"/>
      <c r="J470" s="1"/>
      <c r="K470" s="4"/>
      <c r="L470" s="1"/>
      <c r="M470" s="1"/>
      <c r="N470" s="3"/>
      <c r="O470" s="1"/>
      <c r="P470" s="3"/>
      <c r="Q470" s="1"/>
      <c r="R470" s="1"/>
      <c r="S470" s="1"/>
    </row>
    <row r="471" spans="2:19" ht="15.6" x14ac:dyDescent="0.3">
      <c r="B471" s="1" t="s">
        <v>1272</v>
      </c>
      <c r="C471" s="1"/>
      <c r="D471" s="1"/>
      <c r="E471" s="2"/>
      <c r="F471" s="1"/>
      <c r="G471" s="1"/>
      <c r="H471" s="1"/>
      <c r="I471" s="1"/>
      <c r="J471" s="1"/>
      <c r="K471" s="1"/>
      <c r="L471" s="4"/>
      <c r="M471" s="1"/>
      <c r="N471" s="3"/>
      <c r="O471" s="1"/>
      <c r="P471" s="3"/>
      <c r="Q471" s="1"/>
      <c r="R471" s="1"/>
      <c r="S471" s="1"/>
    </row>
    <row r="472" spans="2:19" ht="15.6" x14ac:dyDescent="0.3">
      <c r="B472" s="1" t="s">
        <v>1273</v>
      </c>
      <c r="C472" s="1"/>
      <c r="D472" s="1"/>
      <c r="E472" s="2"/>
      <c r="F472" s="1"/>
      <c r="G472" s="1"/>
      <c r="H472" s="1"/>
      <c r="I472" s="4"/>
      <c r="J472" s="1"/>
      <c r="K472" s="1"/>
      <c r="L472" s="1"/>
      <c r="M472" s="1"/>
      <c r="N472" s="3"/>
      <c r="O472" s="1"/>
      <c r="P472" s="3"/>
      <c r="Q472" s="1"/>
      <c r="R472" s="1"/>
      <c r="S472" s="1"/>
    </row>
    <row r="473" spans="2:19" ht="15.6" x14ac:dyDescent="0.3">
      <c r="B473" s="1" t="s">
        <v>1274</v>
      </c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3"/>
      <c r="O473" s="1"/>
      <c r="P473" s="3"/>
      <c r="Q473" s="1"/>
      <c r="R473" s="1"/>
      <c r="S473" s="1"/>
    </row>
    <row r="474" spans="2:19" ht="15.6" x14ac:dyDescent="0.3">
      <c r="B474" s="1" t="s">
        <v>1275</v>
      </c>
      <c r="C474" s="1"/>
      <c r="D474" s="1"/>
      <c r="E474" s="2"/>
      <c r="F474" s="1"/>
      <c r="G474" s="1"/>
      <c r="H474" s="1"/>
      <c r="I474" s="1"/>
      <c r="J474" s="4"/>
      <c r="K474" s="1"/>
      <c r="L474" s="1"/>
      <c r="M474" s="1"/>
      <c r="N474" s="3"/>
      <c r="O474" s="1"/>
      <c r="P474" s="3"/>
      <c r="Q474" s="1"/>
      <c r="R474" s="1"/>
      <c r="S474" s="1"/>
    </row>
    <row r="475" spans="2:19" ht="15.6" x14ac:dyDescent="0.3">
      <c r="B475" s="1" t="s">
        <v>1276</v>
      </c>
      <c r="C475" s="1"/>
      <c r="D475" s="1"/>
      <c r="E475" s="2"/>
      <c r="F475" s="1"/>
      <c r="G475" s="1"/>
      <c r="H475" s="1"/>
      <c r="I475" s="1"/>
      <c r="J475" s="1"/>
      <c r="K475" s="1"/>
      <c r="L475" s="4"/>
      <c r="M475" s="1"/>
      <c r="N475" s="3"/>
      <c r="O475" s="1"/>
      <c r="P475" s="3"/>
      <c r="Q475" s="1"/>
      <c r="R475" s="1"/>
      <c r="S475" s="1"/>
    </row>
    <row r="476" spans="2:19" ht="15.6" x14ac:dyDescent="0.3">
      <c r="B476" s="1" t="s">
        <v>1277</v>
      </c>
      <c r="C476" s="1"/>
      <c r="D476" s="1"/>
      <c r="E476" s="2"/>
      <c r="F476" s="1"/>
      <c r="G476" s="1"/>
      <c r="H476" s="1"/>
      <c r="I476" s="1"/>
      <c r="J476" s="1"/>
      <c r="K476" s="1"/>
      <c r="L476" s="4"/>
      <c r="M476" s="1"/>
      <c r="N476" s="3"/>
      <c r="O476" s="1"/>
      <c r="P476" s="3"/>
      <c r="Q476" s="1"/>
      <c r="R476" s="1"/>
      <c r="S476" s="1"/>
    </row>
    <row r="477" spans="2:19" ht="15.6" x14ac:dyDescent="0.3">
      <c r="B477" s="1" t="s">
        <v>1278</v>
      </c>
      <c r="C477" s="1"/>
      <c r="D477" s="1"/>
      <c r="E477" s="2"/>
      <c r="F477" s="1"/>
      <c r="G477" s="1"/>
      <c r="H477" s="1"/>
      <c r="I477" s="1"/>
      <c r="J477" s="1"/>
      <c r="K477" s="1"/>
      <c r="L477" s="4"/>
      <c r="M477" s="1"/>
      <c r="N477" s="3"/>
      <c r="O477" s="1"/>
      <c r="P477" s="3"/>
      <c r="Q477" s="1"/>
      <c r="R477" s="1"/>
      <c r="S477" s="1"/>
    </row>
    <row r="478" spans="2:19" ht="15.6" x14ac:dyDescent="0.3">
      <c r="B478" s="1" t="s">
        <v>1279</v>
      </c>
      <c r="C478" s="1"/>
      <c r="D478" s="1"/>
      <c r="E478" s="2"/>
      <c r="F478" s="1"/>
      <c r="G478" s="1"/>
      <c r="H478" s="1"/>
      <c r="I478" s="1"/>
      <c r="J478" s="1"/>
      <c r="K478" s="1"/>
      <c r="L478" s="4"/>
      <c r="M478" s="1"/>
      <c r="N478" s="3"/>
      <c r="O478" s="1"/>
      <c r="P478" s="3"/>
      <c r="Q478" s="1"/>
      <c r="R478" s="1"/>
      <c r="S478" s="1"/>
    </row>
    <row r="479" spans="2:19" ht="15.6" x14ac:dyDescent="0.3">
      <c r="B479" s="1" t="s">
        <v>1280</v>
      </c>
      <c r="C479" s="1"/>
      <c r="D479" s="1"/>
      <c r="E479" s="2"/>
      <c r="F479" s="1"/>
      <c r="G479" s="1"/>
      <c r="H479" s="1"/>
      <c r="I479" s="1"/>
      <c r="J479" s="1"/>
      <c r="K479" s="1"/>
      <c r="L479" s="4"/>
      <c r="M479" s="1"/>
      <c r="N479" s="1"/>
      <c r="O479" s="1"/>
      <c r="P479" s="3"/>
      <c r="Q479" s="1"/>
      <c r="R479" s="1"/>
      <c r="S479" s="1"/>
    </row>
    <row r="480" spans="2:19" ht="15.6" x14ac:dyDescent="0.3">
      <c r="B480" s="1" t="s">
        <v>1281</v>
      </c>
      <c r="C480" s="1"/>
      <c r="D480" s="1"/>
      <c r="E480" s="2"/>
      <c r="F480" s="1"/>
      <c r="G480" s="1"/>
      <c r="H480" s="1"/>
      <c r="I480" s="1"/>
      <c r="J480" s="1"/>
      <c r="K480" s="1"/>
      <c r="L480" s="4"/>
      <c r="M480" s="1"/>
      <c r="N480" s="3"/>
      <c r="O480" s="1"/>
      <c r="P480" s="3"/>
      <c r="Q480" s="1"/>
      <c r="R480" s="1"/>
      <c r="S480" s="1"/>
    </row>
    <row r="481" spans="2:19" ht="15.6" x14ac:dyDescent="0.3">
      <c r="B481" s="1" t="s">
        <v>1282</v>
      </c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3"/>
      <c r="O481" s="1"/>
      <c r="P481" s="3"/>
      <c r="Q481" s="1"/>
      <c r="R481" s="1"/>
      <c r="S481" s="1"/>
    </row>
    <row r="482" spans="2:19" ht="15.6" x14ac:dyDescent="0.3">
      <c r="B482" s="1" t="s">
        <v>1283</v>
      </c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3"/>
      <c r="O482" s="1"/>
      <c r="P482" s="3"/>
      <c r="Q482" s="1"/>
      <c r="R482" s="1"/>
      <c r="S482" s="1"/>
    </row>
    <row r="483" spans="2:19" ht="15.6" x14ac:dyDescent="0.3">
      <c r="B483" s="1" t="s">
        <v>1284</v>
      </c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3"/>
      <c r="O483" s="1"/>
      <c r="P483" s="3"/>
      <c r="Q483" s="1"/>
      <c r="R483" s="1"/>
      <c r="S483" s="1"/>
    </row>
    <row r="484" spans="2:19" ht="15.6" x14ac:dyDescent="0.3">
      <c r="B484" s="1" t="s">
        <v>1285</v>
      </c>
      <c r="C484" s="1"/>
      <c r="D484" s="1"/>
      <c r="E484" s="2"/>
      <c r="F484" s="1"/>
      <c r="G484" s="1"/>
      <c r="H484" s="1"/>
      <c r="I484" s="1"/>
      <c r="J484" s="1"/>
      <c r="K484" s="1"/>
      <c r="L484" s="4"/>
      <c r="M484" s="1"/>
      <c r="N484" s="3"/>
      <c r="O484" s="1"/>
      <c r="P484" s="3"/>
      <c r="Q484" s="4"/>
      <c r="R484" s="1"/>
      <c r="S484" s="1"/>
    </row>
    <row r="485" spans="2:19" ht="15.6" x14ac:dyDescent="0.3">
      <c r="B485" s="1" t="s">
        <v>1286</v>
      </c>
      <c r="C485" s="1"/>
      <c r="D485" s="1"/>
      <c r="E485" s="2"/>
      <c r="F485" s="1"/>
      <c r="G485" s="1"/>
      <c r="H485" s="1"/>
      <c r="I485" s="1"/>
      <c r="J485" s="1"/>
      <c r="K485" s="1"/>
      <c r="L485" s="4"/>
      <c r="M485" s="1"/>
      <c r="N485" s="3"/>
      <c r="O485" s="1"/>
      <c r="P485" s="6"/>
      <c r="Q485" s="1"/>
      <c r="R485" s="1"/>
      <c r="S485" s="1"/>
    </row>
    <row r="486" spans="2:19" ht="15.6" x14ac:dyDescent="0.3">
      <c r="B486" s="1" t="s">
        <v>1287</v>
      </c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3"/>
      <c r="O486" s="1"/>
      <c r="P486" s="3"/>
      <c r="Q486" s="1"/>
      <c r="R486" s="1"/>
      <c r="S486" s="1"/>
    </row>
    <row r="487" spans="2:19" ht="15.6" x14ac:dyDescent="0.3">
      <c r="B487" s="1" t="s">
        <v>1288</v>
      </c>
      <c r="C487" s="1"/>
      <c r="D487" s="1"/>
      <c r="E487" s="2"/>
      <c r="F487" s="1"/>
      <c r="G487" s="1"/>
      <c r="H487" s="1"/>
      <c r="I487" s="1"/>
      <c r="J487" s="1"/>
      <c r="K487" s="1"/>
      <c r="L487" s="4"/>
      <c r="M487" s="1"/>
      <c r="N487" s="3"/>
      <c r="O487" s="1"/>
      <c r="P487" s="3"/>
      <c r="Q487" s="1"/>
      <c r="R487" s="1"/>
      <c r="S487" s="1"/>
    </row>
    <row r="488" spans="2:19" ht="15.6" x14ac:dyDescent="0.3">
      <c r="B488" s="1" t="s">
        <v>1289</v>
      </c>
      <c r="C488" s="1"/>
      <c r="D488" s="1"/>
      <c r="E488" s="2"/>
      <c r="F488" s="1"/>
      <c r="G488" s="1"/>
      <c r="H488" s="1"/>
      <c r="I488" s="1"/>
      <c r="J488" s="4"/>
      <c r="K488" s="1"/>
      <c r="L488" s="1"/>
      <c r="M488" s="1"/>
      <c r="N488" s="3"/>
      <c r="O488" s="1"/>
      <c r="P488" s="3"/>
      <c r="Q488" s="1"/>
      <c r="R488" s="1"/>
      <c r="S488" s="1"/>
    </row>
    <row r="489" spans="2:19" ht="15.6" x14ac:dyDescent="0.3">
      <c r="B489" s="1" t="s">
        <v>1290</v>
      </c>
      <c r="C489" s="1"/>
      <c r="D489" s="1"/>
      <c r="E489" s="2"/>
      <c r="F489" s="1"/>
      <c r="G489" s="1"/>
      <c r="H489" s="1"/>
      <c r="I489" s="1"/>
      <c r="J489" s="1"/>
      <c r="K489" s="1"/>
      <c r="L489" s="4"/>
      <c r="M489" s="1"/>
      <c r="N489" s="3"/>
      <c r="O489" s="1"/>
      <c r="P489" s="3"/>
      <c r="Q489" s="1"/>
      <c r="R489" s="1"/>
      <c r="S489" s="1"/>
    </row>
    <row r="490" spans="2:19" ht="15.6" x14ac:dyDescent="0.3">
      <c r="B490" s="1" t="s">
        <v>1291</v>
      </c>
      <c r="C490" s="1"/>
      <c r="D490" s="1"/>
      <c r="E490" s="2"/>
      <c r="F490" s="1"/>
      <c r="G490" s="1"/>
      <c r="H490" s="1"/>
      <c r="I490" s="1"/>
      <c r="J490" s="1"/>
      <c r="K490" s="1"/>
      <c r="L490" s="4"/>
      <c r="M490" s="1"/>
      <c r="N490" s="3"/>
      <c r="O490" s="1"/>
      <c r="P490" s="3"/>
      <c r="Q490" s="1"/>
      <c r="R490" s="1"/>
      <c r="S490" s="1"/>
    </row>
    <row r="491" spans="2:19" ht="15.6" x14ac:dyDescent="0.3">
      <c r="B491" s="1" t="s">
        <v>1292</v>
      </c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3"/>
      <c r="O491" s="1"/>
      <c r="P491" s="6"/>
      <c r="Q491" s="1"/>
      <c r="R491" s="1"/>
      <c r="S491" s="1"/>
    </row>
    <row r="492" spans="2:19" ht="15.6" x14ac:dyDescent="0.3">
      <c r="B492" s="1" t="s">
        <v>1293</v>
      </c>
      <c r="C492" s="1"/>
      <c r="D492" s="1"/>
      <c r="E492" s="2"/>
      <c r="F492" s="1"/>
      <c r="G492" s="1"/>
      <c r="H492" s="1"/>
      <c r="I492" s="1"/>
      <c r="J492" s="1"/>
      <c r="K492" s="1"/>
      <c r="L492" s="4"/>
      <c r="M492" s="1"/>
      <c r="N492" s="3"/>
      <c r="O492" s="1"/>
      <c r="P492" s="3"/>
      <c r="Q492" s="1"/>
      <c r="R492" s="1"/>
      <c r="S492" s="1"/>
    </row>
    <row r="493" spans="2:19" ht="15.6" x14ac:dyDescent="0.3">
      <c r="B493" s="1" t="s">
        <v>1294</v>
      </c>
      <c r="C493" s="1"/>
      <c r="D493" s="1"/>
      <c r="E493" s="2"/>
      <c r="F493" s="1"/>
      <c r="G493" s="1"/>
      <c r="H493" s="1"/>
      <c r="I493" s="1"/>
      <c r="J493" s="1"/>
      <c r="K493" s="1"/>
      <c r="L493" s="4"/>
      <c r="M493" s="1"/>
      <c r="N493" s="3"/>
      <c r="O493" s="1"/>
      <c r="P493" s="3"/>
      <c r="Q493" s="1"/>
      <c r="R493" s="1"/>
      <c r="S493" s="1"/>
    </row>
    <row r="494" spans="2:19" ht="15.6" x14ac:dyDescent="0.3">
      <c r="B494" s="1" t="s">
        <v>1295</v>
      </c>
      <c r="C494" s="1"/>
      <c r="D494" s="1"/>
      <c r="E494" s="2"/>
      <c r="F494" s="1"/>
      <c r="G494" s="1"/>
      <c r="H494" s="1"/>
      <c r="I494" s="1"/>
      <c r="J494" s="1"/>
      <c r="K494" s="1"/>
      <c r="L494" s="4"/>
      <c r="M494" s="1"/>
      <c r="N494" s="1"/>
      <c r="O494" s="1"/>
      <c r="P494" s="3"/>
      <c r="Q494" s="1"/>
      <c r="R494" s="1"/>
      <c r="S494" s="1"/>
    </row>
    <row r="495" spans="2:19" ht="15.6" x14ac:dyDescent="0.3">
      <c r="B495" s="1" t="s">
        <v>1296</v>
      </c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3"/>
      <c r="O495" s="1"/>
      <c r="P495" s="3"/>
      <c r="Q495" s="1"/>
      <c r="R495" s="1"/>
      <c r="S495" s="1"/>
    </row>
    <row r="496" spans="2:19" ht="15.6" x14ac:dyDescent="0.3">
      <c r="B496" s="1" t="s">
        <v>1297</v>
      </c>
      <c r="C496" s="1"/>
      <c r="D496" s="1"/>
      <c r="E496" s="2"/>
      <c r="F496" s="1"/>
      <c r="G496" s="1"/>
      <c r="H496" s="1"/>
      <c r="I496" s="1"/>
      <c r="J496" s="4"/>
      <c r="K496" s="1"/>
      <c r="L496" s="4"/>
      <c r="M496" s="1"/>
      <c r="N496" s="3"/>
      <c r="O496" s="1"/>
      <c r="P496" s="3"/>
      <c r="Q496" s="1"/>
      <c r="R496" s="1"/>
      <c r="S496" s="1"/>
    </row>
    <row r="497" spans="2:19" ht="15.6" x14ac:dyDescent="0.3">
      <c r="B497" s="1" t="s">
        <v>1298</v>
      </c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3"/>
      <c r="O497" s="1"/>
      <c r="P497" s="1"/>
      <c r="Q497" s="1"/>
      <c r="R497" s="1"/>
      <c r="S497" s="1"/>
    </row>
    <row r="498" spans="2:19" ht="15.6" x14ac:dyDescent="0.3">
      <c r="B498" s="1" t="s">
        <v>1299</v>
      </c>
      <c r="C498" s="1"/>
      <c r="D498" s="1"/>
      <c r="E498" s="2"/>
      <c r="F498" s="1"/>
      <c r="G498" s="1"/>
      <c r="H498" s="1"/>
      <c r="I498" s="1"/>
      <c r="J498" s="1"/>
      <c r="K498" s="1"/>
      <c r="L498" s="4"/>
      <c r="M498" s="4"/>
      <c r="N498" s="3"/>
      <c r="O498" s="1"/>
      <c r="P498" s="3"/>
      <c r="Q498" s="1"/>
      <c r="R498" s="1"/>
      <c r="S498" s="1"/>
    </row>
    <row r="499" spans="2:19" ht="15.6" x14ac:dyDescent="0.3">
      <c r="B499" s="1" t="s">
        <v>1300</v>
      </c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3"/>
      <c r="O499" s="1"/>
      <c r="P499" s="3"/>
      <c r="Q499" s="1"/>
      <c r="R499" s="1"/>
      <c r="S499" s="1"/>
    </row>
    <row r="500" spans="2:19" ht="15.6" x14ac:dyDescent="0.3">
      <c r="B500" s="1" t="s">
        <v>1301</v>
      </c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3"/>
      <c r="O500" s="1"/>
      <c r="P500" s="3"/>
      <c r="Q500" s="1"/>
      <c r="R500" s="1"/>
      <c r="S500" s="1"/>
    </row>
    <row r="501" spans="2:19" ht="15.6" x14ac:dyDescent="0.3">
      <c r="B501" s="1" t="s">
        <v>1302</v>
      </c>
      <c r="C501" s="1"/>
      <c r="D501" s="1"/>
      <c r="E501" s="2"/>
      <c r="F501" s="1"/>
      <c r="G501" s="1"/>
      <c r="H501" s="1"/>
      <c r="I501" s="1"/>
      <c r="J501" s="1"/>
      <c r="K501" s="1"/>
      <c r="L501" s="4"/>
      <c r="M501" s="1"/>
      <c r="N501" s="3"/>
      <c r="O501" s="1"/>
      <c r="P501" s="3"/>
      <c r="Q501" s="1"/>
      <c r="R501" s="1"/>
      <c r="S501" s="1"/>
    </row>
    <row r="502" spans="2:19" ht="15.6" x14ac:dyDescent="0.3">
      <c r="B502" s="1" t="s">
        <v>1303</v>
      </c>
      <c r="C502" s="1"/>
      <c r="D502" s="1"/>
      <c r="E502" s="2"/>
      <c r="F502" s="1"/>
      <c r="G502" s="1"/>
      <c r="H502" s="1"/>
      <c r="I502" s="1"/>
      <c r="J502" s="1"/>
      <c r="K502" s="1"/>
      <c r="L502" s="4"/>
      <c r="M502" s="1"/>
      <c r="N502" s="3"/>
      <c r="O502" s="1"/>
      <c r="P502" s="6"/>
      <c r="Q502" s="1"/>
      <c r="R502" s="1"/>
      <c r="S502" s="1"/>
    </row>
    <row r="503" spans="2:19" ht="15.6" x14ac:dyDescent="0.3">
      <c r="B503" s="1" t="s">
        <v>1304</v>
      </c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3"/>
      <c r="O503" s="1"/>
      <c r="P503" s="3"/>
      <c r="Q503" s="1"/>
      <c r="R503" s="1"/>
      <c r="S503" s="1"/>
    </row>
    <row r="504" spans="2:19" ht="15.6" x14ac:dyDescent="0.3">
      <c r="B504" s="1" t="s">
        <v>1305</v>
      </c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3"/>
      <c r="O504" s="1"/>
      <c r="P504" s="3"/>
      <c r="Q504" s="1"/>
      <c r="R504" s="1"/>
      <c r="S504" s="1"/>
    </row>
    <row r="505" spans="2:19" ht="15.6" x14ac:dyDescent="0.3">
      <c r="B505" s="1" t="s">
        <v>1306</v>
      </c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3"/>
      <c r="O505" s="1"/>
      <c r="P505" s="6"/>
      <c r="Q505" s="1"/>
      <c r="R505" s="1"/>
      <c r="S505" s="1"/>
    </row>
    <row r="506" spans="2:19" ht="15.6" x14ac:dyDescent="0.3">
      <c r="B506" s="1" t="s">
        <v>1307</v>
      </c>
      <c r="C506" s="1"/>
      <c r="D506" s="1"/>
      <c r="E506" s="2"/>
      <c r="F506" s="1"/>
      <c r="G506" s="1"/>
      <c r="H506" s="1"/>
      <c r="I506" s="1"/>
      <c r="J506" s="1"/>
      <c r="K506" s="1"/>
      <c r="L506" s="4"/>
      <c r="M506" s="1"/>
      <c r="N506" s="3"/>
      <c r="O506" s="1"/>
      <c r="P506" s="3"/>
      <c r="Q506" s="1"/>
      <c r="R506" s="1"/>
      <c r="S506" s="1"/>
    </row>
    <row r="507" spans="2:19" ht="15.6" x14ac:dyDescent="0.3">
      <c r="B507" s="1" t="s">
        <v>1308</v>
      </c>
      <c r="C507" s="1"/>
      <c r="D507" s="1"/>
      <c r="E507" s="2"/>
      <c r="F507" s="1"/>
      <c r="G507" s="1"/>
      <c r="H507" s="1"/>
      <c r="I507" s="1"/>
      <c r="J507" s="1"/>
      <c r="K507" s="1"/>
      <c r="L507" s="4"/>
      <c r="M507" s="1"/>
      <c r="N507" s="3"/>
      <c r="O507" s="1"/>
      <c r="P507" s="3"/>
      <c r="Q507" s="1"/>
      <c r="R507" s="1"/>
      <c r="S507" s="1"/>
    </row>
    <row r="508" spans="2:19" ht="15.6" x14ac:dyDescent="0.3">
      <c r="B508" s="1" t="s">
        <v>1309</v>
      </c>
      <c r="C508" s="1"/>
      <c r="D508" s="1"/>
      <c r="E508" s="2"/>
      <c r="F508" s="1"/>
      <c r="G508" s="1"/>
      <c r="H508" s="1"/>
      <c r="I508" s="1"/>
      <c r="J508" s="1"/>
      <c r="K508" s="1"/>
      <c r="L508" s="4"/>
      <c r="M508" s="1"/>
      <c r="N508" s="1"/>
      <c r="O508" s="1"/>
      <c r="P508" s="3"/>
      <c r="Q508" s="1"/>
      <c r="R508" s="1"/>
      <c r="S508" s="1"/>
    </row>
    <row r="509" spans="2:19" ht="15.6" x14ac:dyDescent="0.3">
      <c r="B509" s="1" t="s">
        <v>1310</v>
      </c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3"/>
      <c r="O509" s="1"/>
      <c r="P509" s="3"/>
      <c r="Q509" s="1"/>
      <c r="R509" s="1"/>
      <c r="S509" s="1"/>
    </row>
    <row r="510" spans="2:19" ht="15.6" x14ac:dyDescent="0.3">
      <c r="B510" s="1" t="s">
        <v>1311</v>
      </c>
      <c r="C510" s="1"/>
      <c r="D510" s="1"/>
      <c r="E510" s="2"/>
      <c r="F510" s="1"/>
      <c r="G510" s="1"/>
      <c r="H510" s="1"/>
      <c r="I510" s="1"/>
      <c r="J510" s="4"/>
      <c r="K510" s="1"/>
      <c r="L510" s="4"/>
      <c r="M510" s="1"/>
      <c r="N510" s="3"/>
      <c r="O510" s="1"/>
      <c r="P510" s="3"/>
      <c r="Q510" s="1"/>
      <c r="R510" s="1"/>
      <c r="S510" s="1"/>
    </row>
    <row r="511" spans="2:19" ht="15.6" x14ac:dyDescent="0.3">
      <c r="B511" s="1" t="s">
        <v>1312</v>
      </c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3"/>
      <c r="O511" s="1"/>
      <c r="P511" s="1"/>
      <c r="Q511" s="1"/>
      <c r="R511" s="1"/>
      <c r="S511" s="1"/>
    </row>
    <row r="512" spans="2:19" ht="15.6" x14ac:dyDescent="0.3">
      <c r="B512" s="1" t="s">
        <v>1313</v>
      </c>
      <c r="C512" s="1"/>
      <c r="D512" s="1"/>
      <c r="E512" s="2"/>
      <c r="F512" s="1"/>
      <c r="G512" s="1"/>
      <c r="H512" s="1"/>
      <c r="I512" s="1"/>
      <c r="J512" s="1"/>
      <c r="K512" s="1"/>
      <c r="L512" s="4"/>
      <c r="M512" s="4"/>
      <c r="N512" s="3"/>
      <c r="O512" s="1"/>
      <c r="P512" s="3"/>
      <c r="Q512" s="1"/>
      <c r="R512" s="1"/>
      <c r="S512" s="1"/>
    </row>
    <row r="513" spans="2:19" ht="15.6" x14ac:dyDescent="0.3">
      <c r="B513" s="1" t="s">
        <v>1314</v>
      </c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3"/>
      <c r="O513" s="1"/>
      <c r="P513" s="3"/>
      <c r="Q513" s="1"/>
      <c r="R513" s="1"/>
      <c r="S513" s="1"/>
    </row>
    <row r="514" spans="2:19" ht="15.6" x14ac:dyDescent="0.3">
      <c r="B514" s="1" t="s">
        <v>1315</v>
      </c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3"/>
      <c r="O514" s="1"/>
      <c r="P514" s="3"/>
      <c r="Q514" s="1"/>
      <c r="R514" s="1"/>
      <c r="S514" s="1"/>
    </row>
    <row r="515" spans="2:19" ht="15.6" x14ac:dyDescent="0.3">
      <c r="B515" s="1" t="s">
        <v>1316</v>
      </c>
      <c r="C515" s="1"/>
      <c r="D515" s="1"/>
      <c r="E515" s="2"/>
      <c r="F515" s="1"/>
      <c r="G515" s="1"/>
      <c r="H515" s="1"/>
      <c r="I515" s="1"/>
      <c r="J515" s="1"/>
      <c r="K515" s="1"/>
      <c r="L515" s="4"/>
      <c r="M515" s="1"/>
      <c r="N515" s="3"/>
      <c r="O515" s="1"/>
      <c r="P515" s="3"/>
      <c r="Q515" s="1"/>
      <c r="R515" s="1"/>
      <c r="S515" s="1"/>
    </row>
    <row r="516" spans="2:19" ht="15.6" x14ac:dyDescent="0.3">
      <c r="B516" s="1" t="s">
        <v>1317</v>
      </c>
      <c r="C516" s="1"/>
      <c r="D516" s="1"/>
      <c r="E516" s="2"/>
      <c r="F516" s="1"/>
      <c r="G516" s="1"/>
      <c r="H516" s="1"/>
      <c r="I516" s="1"/>
      <c r="J516" s="1"/>
      <c r="K516" s="1"/>
      <c r="L516" s="4"/>
      <c r="M516" s="1"/>
      <c r="N516" s="3"/>
      <c r="O516" s="1"/>
      <c r="P516" s="6"/>
      <c r="Q516" s="1"/>
      <c r="R516" s="1"/>
      <c r="S516" s="1"/>
    </row>
    <row r="517" spans="2:19" ht="15.6" x14ac:dyDescent="0.3">
      <c r="B517" s="1" t="s">
        <v>1318</v>
      </c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3"/>
      <c r="O517" s="1"/>
      <c r="P517" s="3"/>
      <c r="Q517" s="1"/>
      <c r="R517" s="1"/>
      <c r="S517" s="1"/>
    </row>
    <row r="518" spans="2:19" ht="15.6" x14ac:dyDescent="0.3">
      <c r="B518" s="1" t="s">
        <v>1319</v>
      </c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3"/>
      <c r="O518" s="1"/>
      <c r="P518" s="3"/>
      <c r="Q518" s="1"/>
      <c r="R518" s="1"/>
      <c r="S518" s="1"/>
    </row>
    <row r="519" spans="2:19" ht="15.6" x14ac:dyDescent="0.3">
      <c r="B519" s="1" t="s">
        <v>1320</v>
      </c>
      <c r="C519" s="1"/>
      <c r="D519" s="1"/>
      <c r="E519" s="2"/>
      <c r="F519" s="1"/>
      <c r="G519" s="1"/>
      <c r="H519" s="1"/>
      <c r="I519" s="1"/>
      <c r="J519" s="1"/>
      <c r="K519" s="1"/>
      <c r="L519" s="4"/>
      <c r="M519" s="1"/>
      <c r="N519" s="3"/>
      <c r="O519" s="1"/>
      <c r="P519" s="3"/>
      <c r="Q519" s="1"/>
      <c r="R519" s="1"/>
      <c r="S519" s="1"/>
    </row>
    <row r="520" spans="2:19" ht="15.6" x14ac:dyDescent="0.3">
      <c r="B520" s="1" t="s">
        <v>1321</v>
      </c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3"/>
      <c r="O520" s="1"/>
      <c r="P520" s="3"/>
      <c r="Q520" s="1"/>
      <c r="R520" s="1"/>
      <c r="S520" s="1"/>
    </row>
    <row r="521" spans="2:19" ht="15.6" x14ac:dyDescent="0.3">
      <c r="B521" s="1" t="s">
        <v>1322</v>
      </c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3"/>
      <c r="O521" s="1"/>
      <c r="P521" s="3"/>
      <c r="Q521" s="1"/>
      <c r="R521" s="1"/>
      <c r="S521" s="1"/>
    </row>
    <row r="522" spans="2:19" ht="15.6" x14ac:dyDescent="0.3">
      <c r="B522" s="1" t="s">
        <v>1323</v>
      </c>
      <c r="C522" s="1"/>
      <c r="D522" s="1"/>
      <c r="E522" s="2"/>
      <c r="F522" s="1"/>
      <c r="G522" s="1"/>
      <c r="H522" s="1"/>
      <c r="I522" s="1"/>
      <c r="J522" s="1"/>
      <c r="K522" s="1"/>
      <c r="L522" s="4"/>
      <c r="M522" s="1"/>
      <c r="N522" s="3"/>
      <c r="O522" s="1"/>
      <c r="P522" s="3"/>
      <c r="Q522" s="1"/>
      <c r="R522" s="1"/>
      <c r="S522" s="1"/>
    </row>
    <row r="523" spans="2:19" ht="15.6" x14ac:dyDescent="0.3">
      <c r="B523" s="1" t="s">
        <v>1324</v>
      </c>
      <c r="C523" s="1"/>
      <c r="D523" s="1"/>
      <c r="E523" s="2"/>
      <c r="F523" s="1"/>
      <c r="G523" s="1"/>
      <c r="H523" s="1"/>
      <c r="I523" s="1"/>
      <c r="J523" s="1"/>
      <c r="K523" s="1"/>
      <c r="L523" s="4"/>
      <c r="M523" s="4"/>
      <c r="N523" s="3"/>
      <c r="O523" s="1"/>
      <c r="P523" s="3"/>
      <c r="Q523" s="1"/>
      <c r="R523" s="1"/>
      <c r="S523" s="1"/>
    </row>
    <row r="524" spans="2:19" ht="15.6" x14ac:dyDescent="0.3">
      <c r="B524" s="1" t="s">
        <v>1325</v>
      </c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3"/>
      <c r="O524" s="1"/>
      <c r="P524" s="3"/>
      <c r="Q524" s="1"/>
      <c r="R524" s="1"/>
      <c r="S524" s="1"/>
    </row>
    <row r="525" spans="2:19" ht="15.6" x14ac:dyDescent="0.3">
      <c r="B525" s="1" t="s">
        <v>1326</v>
      </c>
      <c r="C525" s="1"/>
      <c r="D525" s="1"/>
      <c r="E525" s="2"/>
      <c r="F525" s="1"/>
      <c r="G525" s="1"/>
      <c r="H525" s="1"/>
      <c r="I525" s="1"/>
      <c r="J525" s="1"/>
      <c r="K525" s="1"/>
      <c r="L525" s="4"/>
      <c r="M525" s="1"/>
      <c r="N525" s="3"/>
      <c r="O525" s="1"/>
      <c r="P525" s="1"/>
      <c r="Q525" s="1"/>
      <c r="R525" s="1"/>
      <c r="S525" s="1"/>
    </row>
    <row r="526" spans="2:19" ht="15.6" x14ac:dyDescent="0.3">
      <c r="B526" s="1" t="s">
        <v>1327</v>
      </c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3"/>
      <c r="O526" s="1"/>
      <c r="P526" s="1"/>
      <c r="Q526" s="1"/>
      <c r="R526" s="1"/>
      <c r="S526" s="1"/>
    </row>
    <row r="527" spans="2:19" ht="15.6" x14ac:dyDescent="0.3">
      <c r="B527" s="1" t="s">
        <v>1328</v>
      </c>
      <c r="C527" s="1"/>
      <c r="D527" s="1"/>
      <c r="E527" s="2"/>
      <c r="F527" s="1"/>
      <c r="G527" s="1"/>
      <c r="H527" s="1"/>
      <c r="I527" s="1"/>
      <c r="J527" s="1"/>
      <c r="K527" s="1"/>
      <c r="L527" s="4"/>
      <c r="M527" s="1"/>
      <c r="N527" s="3"/>
      <c r="O527" s="1"/>
      <c r="P527" s="3"/>
      <c r="Q527" s="1"/>
      <c r="R527" s="1"/>
      <c r="S527" s="1"/>
    </row>
    <row r="528" spans="2:19" ht="15.6" x14ac:dyDescent="0.3">
      <c r="B528" s="1" t="s">
        <v>1329</v>
      </c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3"/>
      <c r="O528" s="1"/>
      <c r="P528" s="3"/>
      <c r="Q528" s="1"/>
      <c r="R528" s="1"/>
      <c r="S528" s="1"/>
    </row>
    <row r="529" spans="2:19" ht="15.6" x14ac:dyDescent="0.3">
      <c r="B529" s="1" t="s">
        <v>1330</v>
      </c>
      <c r="C529" s="1"/>
      <c r="D529" s="1"/>
      <c r="E529" s="2"/>
      <c r="F529" s="1"/>
      <c r="G529" s="1"/>
      <c r="H529" s="1"/>
      <c r="I529" s="1"/>
      <c r="J529" s="1"/>
      <c r="K529" s="4"/>
      <c r="L529" s="4"/>
      <c r="M529" s="1"/>
      <c r="N529" s="3"/>
      <c r="O529" s="1"/>
      <c r="P529" s="3"/>
      <c r="Q529" s="1"/>
      <c r="R529" s="1"/>
      <c r="S529" s="1"/>
    </row>
    <row r="530" spans="2:19" ht="15.6" x14ac:dyDescent="0.3">
      <c r="B530" s="1" t="s">
        <v>1331</v>
      </c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4"/>
      <c r="N530" s="3"/>
      <c r="O530" s="1"/>
      <c r="P530" s="1"/>
      <c r="Q530" s="4"/>
      <c r="R530" s="1"/>
      <c r="S530" s="1"/>
    </row>
    <row r="531" spans="2:19" ht="15.6" x14ac:dyDescent="0.3">
      <c r="B531" s="1" t="s">
        <v>1332</v>
      </c>
      <c r="C531" s="1"/>
      <c r="D531" s="1"/>
      <c r="E531" s="2"/>
      <c r="F531" s="1"/>
      <c r="G531" s="1"/>
      <c r="H531" s="1"/>
      <c r="I531" s="1"/>
      <c r="J531" s="1"/>
      <c r="K531" s="1"/>
      <c r="L531" s="4"/>
      <c r="M531" s="1"/>
      <c r="N531" s="3"/>
      <c r="O531" s="1"/>
      <c r="P531" s="3"/>
      <c r="Q531" s="1"/>
      <c r="R531" s="1"/>
      <c r="S531" s="1"/>
    </row>
    <row r="532" spans="2:19" ht="15.6" x14ac:dyDescent="0.3">
      <c r="B532" s="1" t="s">
        <v>1333</v>
      </c>
      <c r="C532" s="1"/>
      <c r="D532" s="1"/>
      <c r="E532" s="2"/>
      <c r="F532" s="1"/>
      <c r="G532" s="1"/>
      <c r="H532" s="1"/>
      <c r="I532" s="1"/>
      <c r="J532" s="1"/>
      <c r="K532" s="1"/>
      <c r="L532" s="4"/>
      <c r="M532" s="1"/>
      <c r="N532" s="3"/>
      <c r="O532" s="1"/>
      <c r="P532" s="3"/>
      <c r="Q532" s="1"/>
      <c r="R532" s="1"/>
      <c r="S532" s="1"/>
    </row>
    <row r="533" spans="2:19" ht="15.6" x14ac:dyDescent="0.3">
      <c r="B533" s="1" t="s">
        <v>1334</v>
      </c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4"/>
      <c r="N533" s="3"/>
      <c r="O533" s="1"/>
      <c r="P533" s="3"/>
      <c r="Q533" s="1"/>
      <c r="R533" s="1"/>
      <c r="S533" s="1"/>
    </row>
    <row r="534" spans="2:19" ht="15.6" x14ac:dyDescent="0.3">
      <c r="B534" s="1" t="s">
        <v>1335</v>
      </c>
      <c r="C534" s="1"/>
      <c r="D534" s="1"/>
      <c r="E534" s="2"/>
      <c r="F534" s="1"/>
      <c r="G534" s="1"/>
      <c r="H534" s="1"/>
      <c r="I534" s="1"/>
      <c r="J534" s="1"/>
      <c r="K534" s="1"/>
      <c r="L534" s="4"/>
      <c r="M534" s="1"/>
      <c r="N534" s="1"/>
      <c r="O534" s="1"/>
      <c r="P534" s="3"/>
      <c r="Q534" s="1"/>
      <c r="R534" s="1"/>
      <c r="S534" s="1"/>
    </row>
    <row r="535" spans="2:19" ht="15.6" x14ac:dyDescent="0.3">
      <c r="B535" s="1" t="s">
        <v>1336</v>
      </c>
      <c r="C535" s="1"/>
      <c r="D535" s="1"/>
      <c r="E535" s="2"/>
      <c r="F535" s="1"/>
      <c r="G535" s="1"/>
      <c r="H535" s="1"/>
      <c r="I535" s="1"/>
      <c r="J535" s="1"/>
      <c r="K535" s="1"/>
      <c r="L535" s="4"/>
      <c r="M535" s="1"/>
      <c r="N535" s="3"/>
      <c r="O535" s="1"/>
      <c r="P535" s="3"/>
      <c r="Q535" s="1"/>
      <c r="R535" s="1"/>
      <c r="S535" s="1"/>
    </row>
    <row r="536" spans="2:19" ht="15.6" x14ac:dyDescent="0.3">
      <c r="B536" s="1" t="s">
        <v>1337</v>
      </c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3"/>
      <c r="O536" s="1"/>
      <c r="P536" s="3"/>
      <c r="Q536" s="1"/>
      <c r="R536" s="1"/>
      <c r="S536" s="1"/>
    </row>
    <row r="537" spans="2:19" ht="15.6" x14ac:dyDescent="0.3">
      <c r="B537" s="1" t="s">
        <v>1338</v>
      </c>
      <c r="C537" s="1"/>
      <c r="D537" s="1"/>
      <c r="E537" s="2"/>
      <c r="F537" s="1"/>
      <c r="G537" s="1"/>
      <c r="H537" s="1"/>
      <c r="I537" s="1"/>
      <c r="J537" s="1"/>
      <c r="K537" s="1"/>
      <c r="L537" s="4"/>
      <c r="M537" s="1"/>
      <c r="N537" s="3"/>
      <c r="O537" s="1"/>
      <c r="P537" s="3"/>
      <c r="Q537" s="1"/>
      <c r="R537" s="1"/>
      <c r="S537" s="1"/>
    </row>
    <row r="538" spans="2:19" ht="15.6" x14ac:dyDescent="0.3">
      <c r="B538" s="1" t="s">
        <v>1339</v>
      </c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3"/>
      <c r="O538" s="1"/>
      <c r="P538" s="3"/>
      <c r="Q538" s="1"/>
      <c r="R538" s="1"/>
      <c r="S538" s="1"/>
    </row>
    <row r="539" spans="2:19" ht="15.6" x14ac:dyDescent="0.3">
      <c r="B539" s="1" t="s">
        <v>1340</v>
      </c>
      <c r="C539" s="1"/>
      <c r="D539" s="1"/>
      <c r="E539" s="2"/>
      <c r="F539" s="1"/>
      <c r="G539" s="1"/>
      <c r="H539" s="1"/>
      <c r="I539" s="1"/>
      <c r="J539" s="1"/>
      <c r="K539" s="1"/>
      <c r="L539" s="4"/>
      <c r="M539" s="1"/>
      <c r="N539" s="3"/>
      <c r="O539" s="1"/>
      <c r="P539" s="3"/>
      <c r="Q539" s="4"/>
      <c r="R539" s="1"/>
      <c r="S539" s="1"/>
    </row>
    <row r="540" spans="2:19" ht="15.6" x14ac:dyDescent="0.3">
      <c r="B540" s="1" t="s">
        <v>1341</v>
      </c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4"/>
      <c r="N540" s="3"/>
      <c r="O540" s="1"/>
      <c r="P540" s="3"/>
      <c r="Q540" s="1"/>
      <c r="R540" s="1"/>
      <c r="S540" s="1"/>
    </row>
    <row r="541" spans="2:19" ht="15.6" x14ac:dyDescent="0.3">
      <c r="B541" s="1" t="s">
        <v>1342</v>
      </c>
      <c r="C541" s="1"/>
      <c r="D541" s="1"/>
      <c r="E541" s="2"/>
      <c r="F541" s="1"/>
      <c r="G541" s="1"/>
      <c r="H541" s="1"/>
      <c r="I541" s="4"/>
      <c r="J541" s="1"/>
      <c r="K541" s="1"/>
      <c r="L541" s="1"/>
      <c r="M541" s="1"/>
      <c r="N541" s="3"/>
      <c r="O541" s="1"/>
      <c r="P541" s="3"/>
      <c r="Q541" s="1"/>
      <c r="R541" s="1"/>
      <c r="S541" s="1"/>
    </row>
    <row r="542" spans="2:19" ht="15.6" x14ac:dyDescent="0.3">
      <c r="B542" s="1" t="s">
        <v>1343</v>
      </c>
      <c r="C542" s="1"/>
      <c r="D542" s="1"/>
      <c r="E542" s="2"/>
      <c r="F542" s="1"/>
      <c r="G542" s="1"/>
      <c r="H542" s="1"/>
      <c r="I542" s="1"/>
      <c r="J542" s="1"/>
      <c r="K542" s="1"/>
      <c r="L542" s="4"/>
      <c r="M542" s="1"/>
      <c r="N542" s="3"/>
      <c r="O542" s="1"/>
      <c r="P542" s="3"/>
      <c r="Q542" s="1"/>
      <c r="R542" s="1"/>
      <c r="S542" s="1"/>
    </row>
    <row r="543" spans="2:19" ht="15.6" x14ac:dyDescent="0.3">
      <c r="B543" s="1" t="s">
        <v>1344</v>
      </c>
      <c r="C543" s="1"/>
      <c r="D543" s="1"/>
      <c r="E543" s="2"/>
      <c r="F543" s="1"/>
      <c r="G543" s="1"/>
      <c r="H543" s="1"/>
      <c r="I543" s="1"/>
      <c r="J543" s="1"/>
      <c r="K543" s="1"/>
      <c r="L543" s="4"/>
      <c r="M543" s="1"/>
      <c r="N543" s="3"/>
      <c r="O543" s="1"/>
      <c r="P543" s="3"/>
      <c r="Q543" s="1"/>
      <c r="R543" s="1"/>
      <c r="S543" s="1"/>
    </row>
    <row r="544" spans="2:19" ht="15.6" x14ac:dyDescent="0.3">
      <c r="B544" s="1" t="s">
        <v>1345</v>
      </c>
      <c r="C544" s="1"/>
      <c r="D544" s="1"/>
      <c r="E544" s="2"/>
      <c r="F544" s="1"/>
      <c r="G544" s="1"/>
      <c r="H544" s="1"/>
      <c r="I544" s="1"/>
      <c r="J544" s="1"/>
      <c r="K544" s="1"/>
      <c r="L544" s="5"/>
      <c r="M544" s="1"/>
      <c r="N544" s="3"/>
      <c r="O544" s="1"/>
      <c r="P544" s="3"/>
      <c r="Q544" s="1"/>
      <c r="R544" s="1"/>
      <c r="S544" s="1"/>
    </row>
    <row r="545" spans="2:19" ht="15.6" x14ac:dyDescent="0.3">
      <c r="B545" s="1" t="s">
        <v>1346</v>
      </c>
      <c r="C545" s="1"/>
      <c r="D545" s="1"/>
      <c r="E545" s="2"/>
      <c r="F545" s="1"/>
      <c r="G545" s="1"/>
      <c r="H545" s="1"/>
      <c r="I545" s="1"/>
      <c r="J545" s="1"/>
      <c r="K545" s="1"/>
      <c r="L545" s="4"/>
      <c r="M545" s="1"/>
      <c r="N545" s="3"/>
      <c r="O545" s="1"/>
      <c r="P545" s="3"/>
      <c r="Q545" s="1"/>
      <c r="R545" s="1"/>
      <c r="S545" s="1"/>
    </row>
    <row r="546" spans="2:19" ht="15.6" x14ac:dyDescent="0.3">
      <c r="B546" s="1" t="s">
        <v>1347</v>
      </c>
      <c r="C546" s="1"/>
      <c r="D546" s="1"/>
      <c r="E546" s="2"/>
      <c r="F546" s="1"/>
      <c r="G546" s="1"/>
      <c r="H546" s="1"/>
      <c r="I546" s="1"/>
      <c r="J546" s="1"/>
      <c r="K546" s="1"/>
      <c r="L546" s="4"/>
      <c r="M546" s="1"/>
      <c r="N546" s="1"/>
      <c r="O546" s="1"/>
      <c r="P546" s="6"/>
      <c r="Q546" s="1"/>
      <c r="R546" s="1"/>
      <c r="S546" s="1"/>
    </row>
    <row r="547" spans="2:19" ht="15.6" x14ac:dyDescent="0.3">
      <c r="B547" s="1" t="s">
        <v>1348</v>
      </c>
      <c r="C547" s="1"/>
      <c r="D547" s="1"/>
      <c r="E547" s="2"/>
      <c r="F547" s="1"/>
      <c r="G547" s="1"/>
      <c r="H547" s="1"/>
      <c r="I547" s="1"/>
      <c r="J547" s="1"/>
      <c r="K547" s="1"/>
      <c r="L547" s="4"/>
      <c r="M547" s="1"/>
      <c r="N547" s="3"/>
      <c r="O547" s="1"/>
      <c r="P547" s="3"/>
      <c r="Q547" s="1"/>
      <c r="R547" s="1"/>
      <c r="S547" s="1"/>
    </row>
    <row r="548" spans="2:19" ht="15.6" x14ac:dyDescent="0.3">
      <c r="B548" s="1" t="s">
        <v>1349</v>
      </c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3"/>
      <c r="O548" s="1"/>
      <c r="P548" s="3"/>
      <c r="Q548" s="4"/>
      <c r="R548" s="1"/>
      <c r="S548" s="1"/>
    </row>
    <row r="549" spans="2:19" ht="15.6" x14ac:dyDescent="0.3">
      <c r="B549" s="1" t="s">
        <v>1350</v>
      </c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3"/>
      <c r="O549" s="1"/>
      <c r="P549" s="6"/>
      <c r="Q549" s="1"/>
      <c r="R549" s="1"/>
      <c r="S549" s="1"/>
    </row>
    <row r="550" spans="2:19" ht="15.6" x14ac:dyDescent="0.3">
      <c r="B550" s="1" t="s">
        <v>1351</v>
      </c>
      <c r="C550" s="1"/>
      <c r="D550" s="1"/>
      <c r="E550" s="2"/>
      <c r="F550" s="1"/>
      <c r="G550" s="1"/>
      <c r="H550" s="1"/>
      <c r="I550" s="1"/>
      <c r="J550" s="1"/>
      <c r="K550" s="1"/>
      <c r="L550" s="4"/>
      <c r="M550" s="1"/>
      <c r="N550" s="3"/>
      <c r="O550" s="1"/>
      <c r="P550" s="1"/>
      <c r="Q550" s="1"/>
      <c r="R550" s="1"/>
      <c r="S550" s="1"/>
    </row>
    <row r="551" spans="2:19" ht="15.6" x14ac:dyDescent="0.3">
      <c r="B551" s="1" t="s">
        <v>1352</v>
      </c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3"/>
      <c r="O551" s="1"/>
      <c r="P551" s="3"/>
      <c r="Q551" s="1"/>
      <c r="R551" s="1"/>
      <c r="S551" s="1"/>
    </row>
    <row r="552" spans="2:19" ht="15.6" x14ac:dyDescent="0.3">
      <c r="B552" s="1" t="s">
        <v>1353</v>
      </c>
      <c r="C552" s="1"/>
      <c r="D552" s="1"/>
      <c r="E552" s="2"/>
      <c r="F552" s="1"/>
      <c r="G552" s="1"/>
      <c r="H552" s="1"/>
      <c r="I552" s="1"/>
      <c r="J552" s="1"/>
      <c r="K552" s="1"/>
      <c r="L552" s="4"/>
      <c r="M552" s="1"/>
      <c r="N552" s="1"/>
      <c r="O552" s="1"/>
      <c r="P552" s="3"/>
      <c r="Q552" s="1"/>
      <c r="R552" s="1"/>
      <c r="S552" s="1"/>
    </row>
    <row r="553" spans="2:19" ht="15.6" x14ac:dyDescent="0.3">
      <c r="B553" s="1" t="s">
        <v>1354</v>
      </c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3"/>
      <c r="O553" s="1"/>
      <c r="P553" s="3"/>
      <c r="Q553" s="1"/>
      <c r="R553" s="1"/>
      <c r="S553" s="1"/>
    </row>
    <row r="554" spans="2:19" ht="15.6" x14ac:dyDescent="0.3">
      <c r="B554" s="1" t="s">
        <v>1355</v>
      </c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3"/>
      <c r="O554" s="1"/>
      <c r="P554" s="1"/>
      <c r="Q554" s="1"/>
      <c r="R554" s="1"/>
      <c r="S554" s="1"/>
    </row>
    <row r="555" spans="2:19" ht="15.6" x14ac:dyDescent="0.3">
      <c r="B555" s="1" t="s">
        <v>1356</v>
      </c>
      <c r="C555" s="1"/>
      <c r="D555" s="1"/>
      <c r="E555" s="2"/>
      <c r="F555" s="1"/>
      <c r="G555" s="1"/>
      <c r="H555" s="1"/>
      <c r="I555" s="1"/>
      <c r="J555" s="1"/>
      <c r="K555" s="1"/>
      <c r="L555" s="4"/>
      <c r="M555" s="1"/>
      <c r="N555" s="3"/>
      <c r="O555" s="1"/>
      <c r="P555" s="3"/>
      <c r="Q555" s="1"/>
      <c r="R555" s="1"/>
      <c r="S555" s="1"/>
    </row>
    <row r="556" spans="2:19" ht="15.6" x14ac:dyDescent="0.3">
      <c r="B556" s="1" t="s">
        <v>1357</v>
      </c>
      <c r="C556" s="1"/>
      <c r="D556" s="1"/>
      <c r="E556" s="2"/>
      <c r="F556" s="1"/>
      <c r="G556" s="1"/>
      <c r="H556" s="1"/>
      <c r="I556" s="1"/>
      <c r="J556" s="1"/>
      <c r="K556" s="1"/>
      <c r="L556" s="4"/>
      <c r="M556" s="1"/>
      <c r="N556" s="3"/>
      <c r="O556" s="1"/>
      <c r="P556" s="6"/>
      <c r="Q556" s="4"/>
      <c r="R556" s="1"/>
      <c r="S556" s="1"/>
    </row>
    <row r="557" spans="2:19" ht="15.6" x14ac:dyDescent="0.3">
      <c r="B557" s="1" t="s">
        <v>1358</v>
      </c>
      <c r="C557" s="1"/>
      <c r="D557" s="1"/>
      <c r="E557" s="2"/>
      <c r="F557" s="1"/>
      <c r="G557" s="1"/>
      <c r="H557" s="1"/>
      <c r="I557" s="1"/>
      <c r="J557" s="1"/>
      <c r="K557" s="4"/>
      <c r="L557" s="1"/>
      <c r="M557" s="1"/>
      <c r="N557" s="3"/>
      <c r="O557" s="1"/>
      <c r="P557" s="3"/>
      <c r="Q557" s="1"/>
      <c r="R557" s="1"/>
      <c r="S557" s="1"/>
    </row>
    <row r="558" spans="2:19" ht="15.6" x14ac:dyDescent="0.3">
      <c r="B558" s="1" t="s">
        <v>1359</v>
      </c>
      <c r="C558" s="1"/>
      <c r="D558" s="1"/>
      <c r="E558" s="2"/>
      <c r="F558" s="1"/>
      <c r="G558" s="1"/>
      <c r="H558" s="1"/>
      <c r="I558" s="1"/>
      <c r="J558" s="1"/>
      <c r="K558" s="1"/>
      <c r="L558" s="4"/>
      <c r="M558" s="1"/>
      <c r="N558" s="3"/>
      <c r="O558" s="1"/>
      <c r="P558" s="3"/>
      <c r="Q558" s="1"/>
      <c r="R558" s="1"/>
      <c r="S558" s="1"/>
    </row>
    <row r="559" spans="2:19" ht="15.6" x14ac:dyDescent="0.3">
      <c r="B559" s="1" t="s">
        <v>1360</v>
      </c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3"/>
      <c r="O559" s="1"/>
      <c r="P559" s="3"/>
      <c r="Q559" s="1"/>
      <c r="R559" s="1"/>
      <c r="S559" s="1"/>
    </row>
    <row r="560" spans="2:19" ht="15.6" x14ac:dyDescent="0.3">
      <c r="B560" s="1" t="s">
        <v>1361</v>
      </c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3"/>
      <c r="O560" s="1"/>
      <c r="P560" s="3"/>
      <c r="Q560" s="1"/>
      <c r="R560" s="1"/>
      <c r="S560" s="1"/>
    </row>
    <row r="561" spans="2:19" ht="15.6" x14ac:dyDescent="0.3">
      <c r="B561" s="1" t="s">
        <v>1362</v>
      </c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3"/>
      <c r="O561" s="1"/>
      <c r="P561" s="3"/>
      <c r="Q561" s="1"/>
      <c r="R561" s="1"/>
      <c r="S561" s="1"/>
    </row>
    <row r="562" spans="2:19" ht="15.6" x14ac:dyDescent="0.3">
      <c r="B562" s="1" t="s">
        <v>1363</v>
      </c>
      <c r="C562" s="1"/>
      <c r="D562" s="1"/>
      <c r="E562" s="2"/>
      <c r="F562" s="1"/>
      <c r="G562" s="1"/>
      <c r="H562" s="1"/>
      <c r="I562" s="1"/>
      <c r="J562" s="1"/>
      <c r="K562" s="1"/>
      <c r="L562" s="4"/>
      <c r="M562" s="1"/>
      <c r="N562" s="3"/>
      <c r="O562" s="1"/>
      <c r="P562" s="3"/>
      <c r="Q562" s="1"/>
      <c r="R562" s="1"/>
      <c r="S562" s="1"/>
    </row>
    <row r="563" spans="2:19" ht="15.6" x14ac:dyDescent="0.3">
      <c r="B563" s="1" t="s">
        <v>1364</v>
      </c>
      <c r="C563" s="1"/>
      <c r="D563" s="1"/>
      <c r="E563" s="2"/>
      <c r="F563" s="1"/>
      <c r="G563" s="1"/>
      <c r="H563" s="1"/>
      <c r="I563" s="1"/>
      <c r="J563" s="1"/>
      <c r="K563" s="1"/>
      <c r="L563" s="4"/>
      <c r="M563" s="1"/>
      <c r="N563" s="3"/>
      <c r="O563" s="1"/>
      <c r="P563" s="3"/>
      <c r="Q563" s="1"/>
      <c r="R563" s="1"/>
      <c r="S563" s="1"/>
    </row>
    <row r="564" spans="2:19" ht="15.6" x14ac:dyDescent="0.3">
      <c r="B564" s="1" t="s">
        <v>1365</v>
      </c>
      <c r="C564" s="1"/>
      <c r="D564" s="1"/>
      <c r="E564" s="2"/>
      <c r="F564" s="1"/>
      <c r="G564" s="1"/>
      <c r="H564" s="1"/>
      <c r="I564" s="1"/>
      <c r="J564" s="1"/>
      <c r="K564" s="1"/>
      <c r="L564" s="4"/>
      <c r="M564" s="1"/>
      <c r="N564" s="3"/>
      <c r="O564" s="1"/>
      <c r="P564" s="3"/>
      <c r="Q564" s="1"/>
      <c r="R564" s="1"/>
      <c r="S564" s="1"/>
    </row>
    <row r="565" spans="2:19" ht="15.6" x14ac:dyDescent="0.3">
      <c r="B565" s="1" t="s">
        <v>1366</v>
      </c>
      <c r="C565" s="1"/>
      <c r="D565" s="1"/>
      <c r="E565" s="2"/>
      <c r="F565" s="1"/>
      <c r="G565" s="1"/>
      <c r="H565" s="1"/>
      <c r="I565" s="1"/>
      <c r="J565" s="1"/>
      <c r="K565" s="1"/>
      <c r="L565" s="4"/>
      <c r="M565" s="1"/>
      <c r="N565" s="3"/>
      <c r="O565" s="1"/>
      <c r="P565" s="3"/>
      <c r="Q565" s="1"/>
      <c r="R565" s="1"/>
      <c r="S565" s="1"/>
    </row>
    <row r="566" spans="2:19" ht="15.6" x14ac:dyDescent="0.3">
      <c r="B566" s="1" t="s">
        <v>1367</v>
      </c>
      <c r="C566" s="1"/>
      <c r="D566" s="1"/>
      <c r="E566" s="2"/>
      <c r="F566" s="1"/>
      <c r="G566" s="1"/>
      <c r="H566" s="1"/>
      <c r="I566" s="1"/>
      <c r="J566" s="1"/>
      <c r="K566" s="1"/>
      <c r="L566" s="4"/>
      <c r="M566" s="1"/>
      <c r="N566" s="3"/>
      <c r="O566" s="1"/>
      <c r="P566" s="3"/>
      <c r="Q566" s="1"/>
      <c r="R566" s="1"/>
      <c r="S566" s="1"/>
    </row>
    <row r="567" spans="2:19" ht="15.6" x14ac:dyDescent="0.3">
      <c r="B567" s="1" t="s">
        <v>1368</v>
      </c>
      <c r="C567" s="1"/>
      <c r="D567" s="1"/>
      <c r="E567" s="2"/>
      <c r="F567" s="1"/>
      <c r="G567" s="1"/>
      <c r="H567" s="1"/>
      <c r="I567" s="1"/>
      <c r="J567" s="1"/>
      <c r="K567" s="1"/>
      <c r="L567" s="4"/>
      <c r="M567" s="1"/>
      <c r="N567" s="3"/>
      <c r="O567" s="1"/>
      <c r="P567" s="3"/>
      <c r="Q567" s="1"/>
      <c r="R567" s="1"/>
      <c r="S567" s="1"/>
    </row>
    <row r="568" spans="2:19" ht="15.6" x14ac:dyDescent="0.3">
      <c r="B568" s="1" t="s">
        <v>1369</v>
      </c>
      <c r="C568" s="1"/>
      <c r="D568" s="1"/>
      <c r="E568" s="2"/>
      <c r="F568" s="1"/>
      <c r="G568" s="1"/>
      <c r="H568" s="1"/>
      <c r="I568" s="1"/>
      <c r="J568" s="1"/>
      <c r="K568" s="1"/>
      <c r="L568" s="4"/>
      <c r="M568" s="1"/>
      <c r="N568" s="3"/>
      <c r="O568" s="1"/>
      <c r="P568" s="3"/>
      <c r="Q568" s="1"/>
      <c r="R568" s="1"/>
      <c r="S568" s="1"/>
    </row>
    <row r="569" spans="2:19" ht="15.6" x14ac:dyDescent="0.3">
      <c r="B569" s="1" t="s">
        <v>1370</v>
      </c>
      <c r="C569" s="1"/>
      <c r="D569" s="1"/>
      <c r="E569" s="2"/>
      <c r="F569" s="1"/>
      <c r="G569" s="1"/>
      <c r="H569" s="1"/>
      <c r="I569" s="1"/>
      <c r="J569" s="1"/>
      <c r="K569" s="1"/>
      <c r="L569" s="4"/>
      <c r="M569" s="1"/>
      <c r="N569" s="3"/>
      <c r="O569" s="1"/>
      <c r="P569" s="3"/>
      <c r="Q569" s="1"/>
      <c r="R569" s="1"/>
      <c r="S569" s="1"/>
    </row>
    <row r="570" spans="2:19" ht="15.6" x14ac:dyDescent="0.3">
      <c r="B570" s="1" t="s">
        <v>1371</v>
      </c>
      <c r="C570" s="1"/>
      <c r="D570" s="1"/>
      <c r="E570" s="2"/>
      <c r="F570" s="1"/>
      <c r="G570" s="1"/>
      <c r="H570" s="1"/>
      <c r="I570" s="1"/>
      <c r="J570" s="4"/>
      <c r="K570" s="1"/>
      <c r="L570" s="4"/>
      <c r="M570" s="1"/>
      <c r="N570" s="3"/>
      <c r="O570" s="1"/>
      <c r="P570" s="3"/>
      <c r="Q570" s="1"/>
      <c r="R570" s="1"/>
      <c r="S570" s="1"/>
    </row>
    <row r="571" spans="2:19" ht="15.6" x14ac:dyDescent="0.3">
      <c r="B571" s="1" t="s">
        <v>1372</v>
      </c>
      <c r="C571" s="1"/>
      <c r="D571" s="1"/>
      <c r="E571" s="2"/>
      <c r="F571" s="1"/>
      <c r="G571" s="1"/>
      <c r="H571" s="1"/>
      <c r="I571" s="1"/>
      <c r="J571" s="1"/>
      <c r="K571" s="1"/>
      <c r="L571" s="4"/>
      <c r="M571" s="1"/>
      <c r="N571" s="3"/>
      <c r="O571" s="1"/>
      <c r="P571" s="3"/>
      <c r="Q571" s="1"/>
      <c r="R571" s="1"/>
      <c r="S571" s="1"/>
    </row>
    <row r="572" spans="2:19" ht="15.6" x14ac:dyDescent="0.3">
      <c r="B572" s="1" t="s">
        <v>1373</v>
      </c>
      <c r="C572" s="1"/>
      <c r="D572" s="1"/>
      <c r="E572" s="2"/>
      <c r="F572" s="1"/>
      <c r="G572" s="1"/>
      <c r="H572" s="1"/>
      <c r="I572" s="1"/>
      <c r="J572" s="1"/>
      <c r="K572" s="1"/>
      <c r="L572" s="4"/>
      <c r="M572" s="1"/>
      <c r="N572" s="3"/>
      <c r="O572" s="1"/>
      <c r="P572" s="3"/>
      <c r="Q572" s="1"/>
      <c r="R572" s="1"/>
      <c r="S572" s="1"/>
    </row>
    <row r="573" spans="2:19" ht="15.6" x14ac:dyDescent="0.3">
      <c r="B573" s="1" t="s">
        <v>1374</v>
      </c>
      <c r="C573" s="1"/>
      <c r="D573" s="1"/>
      <c r="E573" s="2"/>
      <c r="F573" s="1"/>
      <c r="G573" s="1"/>
      <c r="H573" s="1"/>
      <c r="I573" s="1"/>
      <c r="J573" s="1"/>
      <c r="K573" s="1"/>
      <c r="L573" s="4"/>
      <c r="M573" s="4"/>
      <c r="N573" s="3"/>
      <c r="O573" s="1"/>
      <c r="P573" s="3"/>
      <c r="Q573" s="1"/>
      <c r="R573" s="1"/>
      <c r="S573" s="1"/>
    </row>
    <row r="574" spans="2:19" ht="15.6" x14ac:dyDescent="0.3">
      <c r="B574" s="1" t="s">
        <v>1375</v>
      </c>
      <c r="C574" s="1"/>
      <c r="D574" s="1"/>
      <c r="E574" s="2"/>
      <c r="F574" s="1"/>
      <c r="G574" s="1"/>
      <c r="H574" s="1"/>
      <c r="I574" s="1"/>
      <c r="J574" s="1"/>
      <c r="K574" s="1"/>
      <c r="L574" s="4"/>
      <c r="M574" s="1"/>
      <c r="N574" s="3"/>
      <c r="O574" s="1"/>
      <c r="P574" s="3"/>
      <c r="Q574" s="1"/>
      <c r="R574" s="1"/>
      <c r="S574" s="1"/>
    </row>
    <row r="575" spans="2:19" ht="15.6" x14ac:dyDescent="0.3">
      <c r="B575" s="1" t="s">
        <v>1376</v>
      </c>
      <c r="C575" s="1"/>
      <c r="D575" s="1"/>
      <c r="E575" s="2"/>
      <c r="F575" s="1"/>
      <c r="G575" s="1"/>
      <c r="H575" s="1"/>
      <c r="I575" s="1"/>
      <c r="J575" s="1"/>
      <c r="K575" s="1"/>
      <c r="L575" s="4"/>
      <c r="M575" s="4"/>
      <c r="N575" s="3"/>
      <c r="O575" s="1"/>
      <c r="P575" s="3"/>
      <c r="Q575" s="1"/>
      <c r="R575" s="1"/>
      <c r="S575" s="1"/>
    </row>
    <row r="576" spans="2:19" ht="15.6" x14ac:dyDescent="0.3">
      <c r="B576" s="1" t="s">
        <v>1377</v>
      </c>
      <c r="C576" s="1"/>
      <c r="D576" s="1"/>
      <c r="E576" s="2"/>
      <c r="F576" s="1"/>
      <c r="G576" s="1"/>
      <c r="H576" s="1"/>
      <c r="I576" s="1"/>
      <c r="J576" s="1"/>
      <c r="K576" s="1"/>
      <c r="L576" s="4"/>
      <c r="M576" s="1"/>
      <c r="N576" s="3"/>
      <c r="O576" s="1"/>
      <c r="P576" s="3"/>
      <c r="Q576" s="1"/>
      <c r="R576" s="1"/>
      <c r="S576" s="1"/>
    </row>
    <row r="577" spans="2:19" ht="15.6" x14ac:dyDescent="0.3">
      <c r="B577" s="1" t="s">
        <v>1378</v>
      </c>
      <c r="C577" s="1"/>
      <c r="D577" s="1"/>
      <c r="E577" s="2"/>
      <c r="F577" s="1"/>
      <c r="G577" s="1"/>
      <c r="H577" s="1"/>
      <c r="I577" s="1"/>
      <c r="J577" s="1"/>
      <c r="K577" s="1"/>
      <c r="L577" s="4"/>
      <c r="M577" s="1"/>
      <c r="N577" s="3"/>
      <c r="O577" s="1"/>
      <c r="P577" s="3"/>
      <c r="Q577" s="1"/>
      <c r="R577" s="1"/>
      <c r="S577" s="1"/>
    </row>
    <row r="578" spans="2:19" ht="15.6" x14ac:dyDescent="0.3">
      <c r="B578" s="1" t="s">
        <v>1379</v>
      </c>
      <c r="C578" s="1"/>
      <c r="D578" s="1"/>
      <c r="E578" s="2"/>
      <c r="F578" s="1"/>
      <c r="G578" s="1"/>
      <c r="H578" s="1"/>
      <c r="I578" s="1"/>
      <c r="J578" s="1"/>
      <c r="K578" s="1"/>
      <c r="L578" s="4"/>
      <c r="M578" s="1"/>
      <c r="N578" s="3"/>
      <c r="O578" s="1"/>
      <c r="P578" s="3"/>
      <c r="Q578" s="1"/>
      <c r="R578" s="1"/>
      <c r="S578" s="1"/>
    </row>
    <row r="579" spans="2:19" ht="15.6" x14ac:dyDescent="0.3">
      <c r="B579" s="1" t="s">
        <v>1380</v>
      </c>
      <c r="C579" s="1"/>
      <c r="D579" s="1"/>
      <c r="E579" s="2"/>
      <c r="F579" s="1"/>
      <c r="G579" s="1"/>
      <c r="H579" s="1"/>
      <c r="I579" s="1"/>
      <c r="J579" s="1"/>
      <c r="K579" s="1"/>
      <c r="L579" s="4"/>
      <c r="M579" s="1"/>
      <c r="N579" s="1"/>
      <c r="O579" s="1"/>
      <c r="P579" s="6"/>
      <c r="Q579" s="1"/>
      <c r="R579" s="1"/>
      <c r="S579" s="1"/>
    </row>
    <row r="580" spans="2:19" ht="15.6" x14ac:dyDescent="0.3">
      <c r="B580" s="1" t="s">
        <v>1381</v>
      </c>
      <c r="C580" s="1"/>
      <c r="D580" s="1"/>
      <c r="E580" s="2"/>
      <c r="F580" s="1"/>
      <c r="G580" s="1"/>
      <c r="H580" s="1"/>
      <c r="I580" s="1"/>
      <c r="J580" s="1"/>
      <c r="K580" s="1"/>
      <c r="L580" s="4"/>
      <c r="M580" s="1"/>
      <c r="N580" s="3"/>
      <c r="O580" s="1"/>
      <c r="P580" s="3"/>
      <c r="Q580" s="1"/>
      <c r="R580" s="1"/>
      <c r="S580" s="1"/>
    </row>
    <row r="581" spans="2:19" ht="15.6" x14ac:dyDescent="0.3">
      <c r="B581" s="1" t="s">
        <v>1382</v>
      </c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3"/>
      <c r="O581" s="1"/>
      <c r="P581" s="3"/>
      <c r="Q581" s="1"/>
      <c r="R581" s="1"/>
      <c r="S581" s="1"/>
    </row>
    <row r="582" spans="2:19" ht="15.6" x14ac:dyDescent="0.3">
      <c r="B582" s="1" t="s">
        <v>1383</v>
      </c>
      <c r="C582" s="1"/>
      <c r="D582" s="1"/>
      <c r="E582" s="2"/>
      <c r="F582" s="1"/>
      <c r="G582" s="1"/>
      <c r="H582" s="1"/>
      <c r="I582" s="1"/>
      <c r="J582" s="1"/>
      <c r="K582" s="1"/>
      <c r="L582" s="4"/>
      <c r="M582" s="1"/>
      <c r="N582" s="3"/>
      <c r="O582" s="1"/>
      <c r="P582" s="3"/>
      <c r="Q582" s="1"/>
      <c r="R582" s="1"/>
      <c r="S582" s="1"/>
    </row>
    <row r="583" spans="2:19" ht="15.6" x14ac:dyDescent="0.3">
      <c r="B583" s="1" t="s">
        <v>1384</v>
      </c>
      <c r="C583" s="1"/>
      <c r="D583" s="1"/>
      <c r="E583" s="2"/>
      <c r="F583" s="1"/>
      <c r="G583" s="1"/>
      <c r="H583" s="1"/>
      <c r="I583" s="1"/>
      <c r="J583" s="1"/>
      <c r="K583" s="1"/>
      <c r="L583" s="4"/>
      <c r="M583" s="1"/>
      <c r="N583" s="3"/>
      <c r="O583" s="1"/>
      <c r="P583" s="3"/>
      <c r="Q583" s="1"/>
      <c r="R583" s="1"/>
      <c r="S583" s="1"/>
    </row>
    <row r="584" spans="2:19" ht="15.6" x14ac:dyDescent="0.3">
      <c r="B584" s="1" t="s">
        <v>1385</v>
      </c>
      <c r="C584" s="1"/>
      <c r="D584" s="1"/>
      <c r="E584" s="2"/>
      <c r="F584" s="1"/>
      <c r="G584" s="1"/>
      <c r="H584" s="1"/>
      <c r="I584" s="1"/>
      <c r="J584" s="1"/>
      <c r="K584" s="1"/>
      <c r="L584" s="4"/>
      <c r="M584" s="1"/>
      <c r="N584" s="3"/>
      <c r="O584" s="1"/>
      <c r="P584" s="3"/>
      <c r="Q584" s="1"/>
      <c r="R584" s="1"/>
      <c r="S58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84"/>
  <sheetViews>
    <sheetView topLeftCell="B469" zoomScale="70" zoomScaleNormal="70" workbookViewId="0">
      <selection activeCell="T3" sqref="T3"/>
    </sheetView>
  </sheetViews>
  <sheetFormatPr defaultRowHeight="14.4" x14ac:dyDescent="0.3"/>
  <cols>
    <col min="2" max="2" width="72" customWidth="1"/>
    <col min="3" max="3" width="67.88671875" customWidth="1"/>
    <col min="4" max="4" width="10.109375" customWidth="1"/>
    <col min="5" max="5" width="2.77734375" customWidth="1"/>
    <col min="6" max="10" width="11.88671875" customWidth="1"/>
    <col min="11" max="11" width="10" customWidth="1"/>
    <col min="12" max="12" width="13.6640625" customWidth="1"/>
    <col min="13" max="13" width="8.88671875" customWidth="1"/>
    <col min="14" max="14" width="11.88671875" customWidth="1"/>
    <col min="15" max="15" width="11.44140625" customWidth="1"/>
    <col min="16" max="16" width="11.109375" customWidth="1"/>
    <col min="17" max="17" width="10.44140625" customWidth="1"/>
    <col min="18" max="18" width="14.44140625" customWidth="1"/>
    <col min="19" max="19" width="16.6640625" customWidth="1"/>
    <col min="20" max="20" width="18.44140625" customWidth="1"/>
  </cols>
  <sheetData>
    <row r="2" spans="1:2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762</v>
      </c>
      <c r="R2" t="s">
        <v>763</v>
      </c>
      <c r="S2" t="s">
        <v>764</v>
      </c>
      <c r="T2" t="s">
        <v>765</v>
      </c>
      <c r="U2" t="s">
        <v>774</v>
      </c>
    </row>
    <row r="3" spans="1:21" x14ac:dyDescent="0.3">
      <c r="B3" s="8" t="s">
        <v>15</v>
      </c>
      <c r="C3" s="8" t="s">
        <v>16</v>
      </c>
      <c r="D3" s="9">
        <v>45401</v>
      </c>
      <c r="E3" s="8">
        <v>1</v>
      </c>
      <c r="F3" s="8">
        <v>0.34861111111111115</v>
      </c>
      <c r="G3" s="8">
        <v>0.35000000000000003</v>
      </c>
      <c r="H3" s="8">
        <v>0.26805555555555555</v>
      </c>
      <c r="I3" s="8" t="s">
        <v>17</v>
      </c>
      <c r="J3" s="8">
        <v>0.66736111111111107</v>
      </c>
      <c r="K3" s="10">
        <v>-10976</v>
      </c>
      <c r="L3" s="8">
        <v>0.21388888888888891</v>
      </c>
      <c r="M3" s="10">
        <v>192004</v>
      </c>
      <c r="N3" s="8">
        <v>0.19513888888888889</v>
      </c>
      <c r="O3" s="8">
        <v>82</v>
      </c>
      <c r="P3" s="8">
        <v>228965</v>
      </c>
      <c r="Q3" s="8">
        <f>YEAR(Table13[[#This Row],[release_date]])</f>
        <v>2024</v>
      </c>
      <c r="R3" s="8">
        <f>ROUND(Table13[[#This Row],[duration_ms]]/60000,2)</f>
        <v>3.82</v>
      </c>
      <c r="S3" s="8" t="str">
        <f>IF(Table13[[#This Row],[valence]]&gt;=0.6, "Happy", IF(Table13[[#This Row],[valence]]&gt;=0.4, "Neutral", "Sad"))</f>
        <v>Sad</v>
      </c>
      <c r="T3" s="8" t="str">
        <f>IF(Table13[[#This Row],[energy]]&gt;=0.7, "High Energy", IF(Table13[[#This Row],[energy]]&gt;=0.4, "Medium Energy", "Low Energy"))</f>
        <v>Low Energy</v>
      </c>
      <c r="U3" s="17" t="str">
        <f>IF(Table13[[#This Row],[popularity]]&gt;70, "Popular", IF(Table13[[#This Row],[popularity]]&lt;40, "Less Popular", "Mid"))</f>
        <v>Popular</v>
      </c>
    </row>
    <row r="4" spans="1:21" x14ac:dyDescent="0.3">
      <c r="B4" s="8" t="s">
        <v>18</v>
      </c>
      <c r="C4" s="8" t="s">
        <v>16</v>
      </c>
      <c r="D4" s="9">
        <v>45401</v>
      </c>
      <c r="E4" s="8">
        <v>2</v>
      </c>
      <c r="F4" s="8">
        <v>0.3354166666666667</v>
      </c>
      <c r="G4" s="8">
        <v>0.41944444444444445</v>
      </c>
      <c r="H4" s="8">
        <v>0.29722222222222222</v>
      </c>
      <c r="I4" s="11">
        <v>0</v>
      </c>
      <c r="J4" s="8">
        <v>8.7500000000000008E-2</v>
      </c>
      <c r="K4" s="10">
        <v>-8441</v>
      </c>
      <c r="L4" s="8">
        <v>0.17708333333333334</v>
      </c>
      <c r="M4" s="10">
        <v>110259</v>
      </c>
      <c r="N4" s="8">
        <v>0.20277777777777775</v>
      </c>
      <c r="O4" s="8">
        <v>79</v>
      </c>
      <c r="P4" s="8">
        <v>293048</v>
      </c>
      <c r="Q4" s="8">
        <f>YEAR(Table13[[#This Row],[release_date]])</f>
        <v>2024</v>
      </c>
      <c r="R4" s="8">
        <f>ROUND(Table13[[#This Row],[duration_ms]]/60000,2)</f>
        <v>4.88</v>
      </c>
      <c r="S4" s="8" t="str">
        <f>IF(Table13[[#This Row],[valence]]&gt;=0.6, "Happy", IF(Table13[[#This Row],[valence]]&gt;=0.4, "Neutral", "Sad"))</f>
        <v>Sad</v>
      </c>
      <c r="T4" s="8" t="str">
        <f>IF(Table13[[#This Row],[energy]]&gt;=0.7, "High Energy", IF(Table13[[#This Row],[energy]]&gt;=0.4, "Medium Energy", "Low Energy"))</f>
        <v>Low Energy</v>
      </c>
      <c r="U4" s="17" t="str">
        <f>IF(Table13[[#This Row],[popularity]]&gt;70, "Popular", IF(Table13[[#This Row],[popularity]]&lt;40, "Less Popular", "Mid"))</f>
        <v>Popular</v>
      </c>
    </row>
    <row r="5" spans="1:21" x14ac:dyDescent="0.3">
      <c r="B5" s="8" t="s">
        <v>19</v>
      </c>
      <c r="C5" s="8" t="s">
        <v>16</v>
      </c>
      <c r="D5" s="9">
        <v>45401</v>
      </c>
      <c r="E5" s="8">
        <v>3</v>
      </c>
      <c r="F5" s="8">
        <v>9.5138888888888884E-2</v>
      </c>
      <c r="G5" s="8">
        <v>0.41388888888888892</v>
      </c>
      <c r="H5" s="8">
        <v>0.39097222222222222</v>
      </c>
      <c r="I5" s="11">
        <v>0</v>
      </c>
      <c r="J5" s="8">
        <v>0.20972222222222223</v>
      </c>
      <c r="K5" s="10">
        <v>-7362</v>
      </c>
      <c r="L5" s="8">
        <v>0.18680555555555556</v>
      </c>
      <c r="M5" s="10">
        <v>97073</v>
      </c>
      <c r="N5" s="8">
        <v>0.33402777777777781</v>
      </c>
      <c r="O5" s="8">
        <v>80</v>
      </c>
      <c r="P5" s="8">
        <v>203801</v>
      </c>
      <c r="Q5" s="8">
        <f>YEAR(Table13[[#This Row],[release_date]])</f>
        <v>2024</v>
      </c>
      <c r="R5" s="8">
        <f>ROUND(Table13[[#This Row],[duration_ms]]/60000,2)</f>
        <v>3.4</v>
      </c>
      <c r="S5" s="8" t="str">
        <f>IF(Table13[[#This Row],[valence]]&gt;=0.6, "Happy", IF(Table13[[#This Row],[valence]]&gt;=0.4, "Neutral", "Sad"))</f>
        <v>Sad</v>
      </c>
      <c r="T5" s="8" t="str">
        <f>IF(Table13[[#This Row],[energy]]&gt;=0.7, "High Energy", IF(Table13[[#This Row],[energy]]&gt;=0.4, "Medium Energy", "Low Energy"))</f>
        <v>Low Energy</v>
      </c>
      <c r="U5" s="17" t="str">
        <f>IF(Table13[[#This Row],[popularity]]&gt;70, "Popular", IF(Table13[[#This Row],[popularity]]&lt;40, "Less Popular", "Mid"))</f>
        <v>Popular</v>
      </c>
    </row>
    <row r="6" spans="1:21" x14ac:dyDescent="0.3">
      <c r="B6" s="8" t="s">
        <v>20</v>
      </c>
      <c r="C6" s="8" t="s">
        <v>16</v>
      </c>
      <c r="D6" s="9">
        <v>45401</v>
      </c>
      <c r="E6" s="8">
        <v>4</v>
      </c>
      <c r="F6" s="11">
        <v>3.888888888888889E-2</v>
      </c>
      <c r="G6" s="8">
        <v>0.3756944444444445</v>
      </c>
      <c r="H6" s="8">
        <v>0.25416666666666665</v>
      </c>
      <c r="I6" s="12">
        <v>9.9999999999999995E-7</v>
      </c>
      <c r="J6" s="8">
        <v>0.65694444444444444</v>
      </c>
      <c r="K6" s="10">
        <v>-10412</v>
      </c>
      <c r="L6" s="8">
        <v>0.51944444444444449</v>
      </c>
      <c r="M6" s="10">
        <v>159707</v>
      </c>
      <c r="N6" s="8">
        <v>0.11666666666666665</v>
      </c>
      <c r="O6" s="8">
        <v>82</v>
      </c>
      <c r="P6" s="8">
        <v>261228</v>
      </c>
      <c r="Q6" s="8">
        <f>YEAR(Table13[[#This Row],[release_date]])</f>
        <v>2024</v>
      </c>
      <c r="R6" s="8">
        <f>ROUND(Table13[[#This Row],[duration_ms]]/60000,2)</f>
        <v>4.3499999999999996</v>
      </c>
      <c r="S6" s="8" t="str">
        <f>IF(Table13[[#This Row],[valence]]&gt;=0.6, "Happy", IF(Table13[[#This Row],[valence]]&gt;=0.4, "Neutral", "Sad"))</f>
        <v>Sad</v>
      </c>
      <c r="T6" s="8" t="str">
        <f>IF(Table13[[#This Row],[energy]]&gt;=0.7, "High Energy", IF(Table13[[#This Row],[energy]]&gt;=0.4, "Medium Energy", "Low Energy"))</f>
        <v>Low Energy</v>
      </c>
      <c r="U6" s="17" t="str">
        <f>IF(Table13[[#This Row],[popularity]]&gt;70, "Popular", IF(Table13[[#This Row],[popularity]]&lt;40, "Less Popular", "Mid"))</f>
        <v>Popular</v>
      </c>
    </row>
    <row r="7" spans="1:21" x14ac:dyDescent="0.3">
      <c r="A7" s="7"/>
      <c r="B7" s="8" t="s">
        <v>21</v>
      </c>
      <c r="C7" s="8" t="s">
        <v>16</v>
      </c>
      <c r="D7" s="9">
        <v>45401</v>
      </c>
      <c r="E7" s="8">
        <v>5</v>
      </c>
      <c r="F7" s="8">
        <v>5.0694444444444438E-2</v>
      </c>
      <c r="G7" s="8">
        <v>0.29375000000000001</v>
      </c>
      <c r="H7" s="8">
        <v>0.37013888888888885</v>
      </c>
      <c r="I7" s="8" t="s">
        <v>22</v>
      </c>
      <c r="J7" s="8">
        <v>0.56666666666666665</v>
      </c>
      <c r="K7" s="10">
        <v>-11388</v>
      </c>
      <c r="L7" s="8">
        <v>0.22361111111111109</v>
      </c>
      <c r="M7" s="10">
        <v>160218</v>
      </c>
      <c r="N7" s="8">
        <v>0.17222222222222225</v>
      </c>
      <c r="O7" s="8">
        <v>80</v>
      </c>
      <c r="P7" s="8">
        <v>262974</v>
      </c>
      <c r="Q7" s="8">
        <f>YEAR(Table13[[#This Row],[release_date]])</f>
        <v>2024</v>
      </c>
      <c r="R7" s="8">
        <f>ROUND(Table13[[#This Row],[duration_ms]]/60000,2)</f>
        <v>4.38</v>
      </c>
      <c r="S7" s="8" t="str">
        <f>IF(Table13[[#This Row],[valence]]&gt;=0.6, "Happy", IF(Table13[[#This Row],[valence]]&gt;=0.4, "Neutral", "Sad"))</f>
        <v>Sad</v>
      </c>
      <c r="T7" s="8" t="str">
        <f>IF(Table13[[#This Row],[energy]]&gt;=0.7, "High Energy", IF(Table13[[#This Row],[energy]]&gt;=0.4, "Medium Energy", "Low Energy"))</f>
        <v>Low Energy</v>
      </c>
      <c r="U7" s="17" t="str">
        <f>IF(Table13[[#This Row],[popularity]]&gt;70, "Popular", IF(Table13[[#This Row],[popularity]]&lt;40, "Less Popular", "Mid"))</f>
        <v>Popular</v>
      </c>
    </row>
    <row r="8" spans="1:21" x14ac:dyDescent="0.3">
      <c r="B8" s="8" t="s">
        <v>23</v>
      </c>
      <c r="C8" s="8" t="s">
        <v>16</v>
      </c>
      <c r="D8" s="9">
        <v>45401</v>
      </c>
      <c r="E8" s="8">
        <v>6</v>
      </c>
      <c r="F8" s="8">
        <v>0.26666666666666666</v>
      </c>
      <c r="G8" s="8">
        <v>0.36180555555555555</v>
      </c>
      <c r="H8" s="8">
        <v>4.9999999999999996E-2</v>
      </c>
      <c r="I8" s="11">
        <v>0</v>
      </c>
      <c r="J8" s="8">
        <v>9.375E-2</v>
      </c>
      <c r="K8" s="10">
        <v>-7684</v>
      </c>
      <c r="L8" s="8">
        <v>7.2222222222222229E-2</v>
      </c>
      <c r="M8" s="10">
        <v>79943</v>
      </c>
      <c r="N8" s="8">
        <v>0.30416666666666664</v>
      </c>
      <c r="O8" s="8">
        <v>81</v>
      </c>
      <c r="P8" s="8">
        <v>340428</v>
      </c>
      <c r="Q8" s="8">
        <f>YEAR(Table13[[#This Row],[release_date]])</f>
        <v>2024</v>
      </c>
      <c r="R8" s="8">
        <f>ROUND(Table13[[#This Row],[duration_ms]]/60000,2)</f>
        <v>5.67</v>
      </c>
      <c r="S8" s="8" t="str">
        <f>IF(Table13[[#This Row],[valence]]&gt;=0.6, "Happy", IF(Table13[[#This Row],[valence]]&gt;=0.4, "Neutral", "Sad"))</f>
        <v>Sad</v>
      </c>
      <c r="T8" s="8" t="str">
        <f>IF(Table13[[#This Row],[energy]]&gt;=0.7, "High Energy", IF(Table13[[#This Row],[energy]]&gt;=0.4, "Medium Energy", "Low Energy"))</f>
        <v>Low Energy</v>
      </c>
      <c r="U8" s="17" t="str">
        <f>IF(Table13[[#This Row],[popularity]]&gt;70, "Popular", IF(Table13[[#This Row],[popularity]]&lt;40, "Less Popular", "Mid"))</f>
        <v>Popular</v>
      </c>
    </row>
    <row r="9" spans="1:21" x14ac:dyDescent="0.3">
      <c r="B9" s="8" t="s">
        <v>24</v>
      </c>
      <c r="C9" s="8" t="s">
        <v>16</v>
      </c>
      <c r="D9" s="9">
        <v>45401</v>
      </c>
      <c r="E9" s="8">
        <v>7</v>
      </c>
      <c r="F9" s="8">
        <v>0.43333333333333335</v>
      </c>
      <c r="G9" s="11">
        <v>2.2916666666666669E-2</v>
      </c>
      <c r="H9" s="8">
        <v>0.3354166666666667</v>
      </c>
      <c r="I9" s="11">
        <v>0</v>
      </c>
      <c r="J9" s="8">
        <v>7.7083333333333337E-2</v>
      </c>
      <c r="K9" s="10">
        <v>-9394</v>
      </c>
      <c r="L9" s="8">
        <v>0.27708333333333335</v>
      </c>
      <c r="M9" s="10">
        <v>87115</v>
      </c>
      <c r="N9" s="11">
        <v>2.361111111111111E-2</v>
      </c>
      <c r="O9" s="8">
        <v>78</v>
      </c>
      <c r="P9" s="8">
        <v>210789</v>
      </c>
      <c r="Q9" s="8">
        <f>YEAR(Table13[[#This Row],[release_date]])</f>
        <v>2024</v>
      </c>
      <c r="R9" s="8">
        <f>ROUND(Table13[[#This Row],[duration_ms]]/60000,2)</f>
        <v>3.51</v>
      </c>
      <c r="S9" s="8" t="str">
        <f>IF(Table13[[#This Row],[valence]]&gt;=0.6, "Happy", IF(Table13[[#This Row],[valence]]&gt;=0.4, "Neutral", "Sad"))</f>
        <v>Sad</v>
      </c>
      <c r="T9" s="8" t="str">
        <f>IF(Table13[[#This Row],[energy]]&gt;=0.7, "High Energy", IF(Table13[[#This Row],[energy]]&gt;=0.4, "Medium Energy", "Low Energy"))</f>
        <v>Low Energy</v>
      </c>
      <c r="U9" s="17" t="str">
        <f>IF(Table13[[#This Row],[popularity]]&gt;70, "Popular", IF(Table13[[#This Row],[popularity]]&lt;40, "Less Popular", "Mid"))</f>
        <v>Popular</v>
      </c>
    </row>
    <row r="10" spans="1:21" x14ac:dyDescent="0.3">
      <c r="B10" s="13" t="s">
        <v>25</v>
      </c>
      <c r="C10" s="8" t="s">
        <v>16</v>
      </c>
      <c r="D10" s="9">
        <v>45401</v>
      </c>
      <c r="E10" s="8">
        <v>8</v>
      </c>
      <c r="F10" s="8">
        <v>0.12361111111111112</v>
      </c>
      <c r="G10" s="8">
        <v>0.37013888888888885</v>
      </c>
      <c r="H10" s="8">
        <v>0.3979166666666667</v>
      </c>
      <c r="I10" s="11">
        <v>0</v>
      </c>
      <c r="J10" s="8">
        <v>0.21458333333333335</v>
      </c>
      <c r="K10" s="10">
        <v>-7123</v>
      </c>
      <c r="L10" s="8">
        <v>9.5833333333333326E-2</v>
      </c>
      <c r="M10" s="10">
        <v>150088</v>
      </c>
      <c r="N10" s="8">
        <v>0.27638888888888891</v>
      </c>
      <c r="O10" s="8">
        <v>79</v>
      </c>
      <c r="P10" s="8">
        <v>215463</v>
      </c>
      <c r="Q10" s="8">
        <f>YEAR(Table13[[#This Row],[release_date]])</f>
        <v>2024</v>
      </c>
      <c r="R10" s="8">
        <f>ROUND(Table13[[#This Row],[duration_ms]]/60000,2)</f>
        <v>3.59</v>
      </c>
      <c r="S10" s="8" t="str">
        <f>IF(Table13[[#This Row],[valence]]&gt;=0.6, "Happy", IF(Table13[[#This Row],[valence]]&gt;=0.4, "Neutral", "Sad"))</f>
        <v>Sad</v>
      </c>
      <c r="T10" s="8" t="str">
        <f>IF(Table13[[#This Row],[energy]]&gt;=0.7, "High Energy", IF(Table13[[#This Row],[energy]]&gt;=0.4, "Medium Energy", "Low Energy"))</f>
        <v>Low Energy</v>
      </c>
      <c r="U10" s="17" t="str">
        <f>IF(Table13[[#This Row],[popularity]]&gt;70, "Popular", IF(Table13[[#This Row],[popularity]]&lt;40, "Less Popular", "Mid"))</f>
        <v>Popular</v>
      </c>
    </row>
    <row r="11" spans="1:21" x14ac:dyDescent="0.3">
      <c r="B11" s="8" t="s">
        <v>26</v>
      </c>
      <c r="C11" s="8" t="s">
        <v>16</v>
      </c>
      <c r="D11" s="9">
        <v>45401</v>
      </c>
      <c r="E11" s="8">
        <v>9</v>
      </c>
      <c r="F11" s="8">
        <v>0.42152777777777778</v>
      </c>
      <c r="G11" s="8">
        <v>0.43472222222222223</v>
      </c>
      <c r="H11" s="8">
        <v>0.29722222222222222</v>
      </c>
      <c r="I11" s="11">
        <v>0</v>
      </c>
      <c r="J11" s="8">
        <v>0.63958333333333328</v>
      </c>
      <c r="K11" s="10">
        <v>-8374</v>
      </c>
      <c r="L11" s="8">
        <v>0.18124999999999999</v>
      </c>
      <c r="M11" s="8" t="s">
        <v>27</v>
      </c>
      <c r="N11" s="8">
        <v>0.33819444444444446</v>
      </c>
      <c r="O11" s="8">
        <v>82</v>
      </c>
      <c r="P11" s="8">
        <v>254365</v>
      </c>
      <c r="Q11" s="8">
        <f>YEAR(Table13[[#This Row],[release_date]])</f>
        <v>2024</v>
      </c>
      <c r="R11" s="8">
        <f>ROUND(Table13[[#This Row],[duration_ms]]/60000,2)</f>
        <v>4.24</v>
      </c>
      <c r="S11" s="8" t="str">
        <f>IF(Table13[[#This Row],[valence]]&gt;=0.6, "Happy", IF(Table13[[#This Row],[valence]]&gt;=0.4, "Neutral", "Sad"))</f>
        <v>Sad</v>
      </c>
      <c r="T11" s="8" t="str">
        <f>IF(Table13[[#This Row],[energy]]&gt;=0.7, "High Energy", IF(Table13[[#This Row],[energy]]&gt;=0.4, "Medium Energy", "Low Energy"))</f>
        <v>Low Energy</v>
      </c>
      <c r="U11" s="17" t="str">
        <f>IF(Table13[[#This Row],[popularity]]&gt;70, "Popular", IF(Table13[[#This Row],[popularity]]&lt;40, "Less Popular", "Mid"))</f>
        <v>Popular</v>
      </c>
    </row>
    <row r="12" spans="1:21" x14ac:dyDescent="0.3">
      <c r="B12" s="8" t="s">
        <v>28</v>
      </c>
      <c r="C12" s="8" t="s">
        <v>16</v>
      </c>
      <c r="D12" s="9">
        <v>45401</v>
      </c>
      <c r="E12" s="8">
        <v>10</v>
      </c>
      <c r="F12" s="8">
        <v>0.21875</v>
      </c>
      <c r="G12" s="8">
        <v>0.42083333333333334</v>
      </c>
      <c r="H12" s="8">
        <v>0.23472222222222225</v>
      </c>
      <c r="I12" s="11">
        <v>0</v>
      </c>
      <c r="J12" s="8">
        <v>7.3611111111111113E-2</v>
      </c>
      <c r="K12" s="10">
        <v>-10555</v>
      </c>
      <c r="L12" s="8" t="s">
        <v>29</v>
      </c>
      <c r="M12" s="8" t="s">
        <v>30</v>
      </c>
      <c r="N12" s="8">
        <v>0.16527777777777777</v>
      </c>
      <c r="O12" s="8">
        <v>81</v>
      </c>
      <c r="P12" s="8">
        <v>334084</v>
      </c>
      <c r="Q12" s="8">
        <f>YEAR(Table13[[#This Row],[release_date]])</f>
        <v>2024</v>
      </c>
      <c r="R12" s="8">
        <f>ROUND(Table13[[#This Row],[duration_ms]]/60000,2)</f>
        <v>5.57</v>
      </c>
      <c r="S12" s="8" t="str">
        <f>IF(Table13[[#This Row],[valence]]&gt;=0.6, "Happy", IF(Table13[[#This Row],[valence]]&gt;=0.4, "Neutral", "Sad"))</f>
        <v>Sad</v>
      </c>
      <c r="T12" s="8" t="str">
        <f>IF(Table13[[#This Row],[energy]]&gt;=0.7, "High Energy", IF(Table13[[#This Row],[energy]]&gt;=0.4, "Medium Energy", "Low Energy"))</f>
        <v>Low Energy</v>
      </c>
      <c r="U12" s="17" t="str">
        <f>IF(Table13[[#This Row],[popularity]]&gt;70, "Popular", IF(Table13[[#This Row],[popularity]]&lt;40, "Less Popular", "Mid"))</f>
        <v>Popular</v>
      </c>
    </row>
    <row r="13" spans="1:21" x14ac:dyDescent="0.3">
      <c r="B13" s="8" t="s">
        <v>31</v>
      </c>
      <c r="C13" s="8" t="s">
        <v>16</v>
      </c>
      <c r="D13" s="9">
        <v>45401</v>
      </c>
      <c r="E13" s="8">
        <v>11</v>
      </c>
      <c r="F13" s="8">
        <v>0.53333333333333333</v>
      </c>
      <c r="G13" s="8">
        <v>0.45902777777777781</v>
      </c>
      <c r="H13" s="8">
        <v>0.17847222222222223</v>
      </c>
      <c r="I13" s="8" t="s">
        <v>32</v>
      </c>
      <c r="J13" s="8">
        <v>0.12222222222222222</v>
      </c>
      <c r="K13" s="10">
        <v>-13961</v>
      </c>
      <c r="L13" s="8" t="s">
        <v>33</v>
      </c>
      <c r="M13" s="10">
        <v>106896</v>
      </c>
      <c r="N13" s="8">
        <v>0.22083333333333333</v>
      </c>
      <c r="O13" s="8">
        <v>77</v>
      </c>
      <c r="P13" s="8">
        <v>156297</v>
      </c>
      <c r="Q13" s="8">
        <f>YEAR(Table13[[#This Row],[release_date]])</f>
        <v>2024</v>
      </c>
      <c r="R13" s="8">
        <f>ROUND(Table13[[#This Row],[duration_ms]]/60000,2)</f>
        <v>2.6</v>
      </c>
      <c r="S13" s="8" t="str">
        <f>IF(Table13[[#This Row],[valence]]&gt;=0.6, "Happy", IF(Table13[[#This Row],[valence]]&gt;=0.4, "Neutral", "Sad"))</f>
        <v>Sad</v>
      </c>
      <c r="T13" s="8" t="str">
        <f>IF(Table13[[#This Row],[energy]]&gt;=0.7, "High Energy", IF(Table13[[#This Row],[energy]]&gt;=0.4, "Medium Energy", "Low Energy"))</f>
        <v>Low Energy</v>
      </c>
      <c r="U13" s="17" t="str">
        <f>IF(Table13[[#This Row],[popularity]]&gt;70, "Popular", IF(Table13[[#This Row],[popularity]]&lt;40, "Less Popular", "Mid"))</f>
        <v>Popular</v>
      </c>
    </row>
    <row r="14" spans="1:21" x14ac:dyDescent="0.3">
      <c r="B14" s="8" t="s">
        <v>34</v>
      </c>
      <c r="C14" s="8" t="s">
        <v>16</v>
      </c>
      <c r="D14" s="9">
        <v>45401</v>
      </c>
      <c r="E14" s="8">
        <v>12</v>
      </c>
      <c r="F14" s="8">
        <v>0.59583333333333333</v>
      </c>
      <c r="G14" s="8">
        <v>0.29375000000000001</v>
      </c>
      <c r="H14" s="8">
        <v>0.18888888888888888</v>
      </c>
      <c r="I14" s="11">
        <v>0</v>
      </c>
      <c r="J14" s="8">
        <v>7.4999999999999997E-2</v>
      </c>
      <c r="K14" s="8" t="s">
        <v>35</v>
      </c>
      <c r="L14" s="8">
        <v>0.33958333333333335</v>
      </c>
      <c r="M14" s="10">
        <v>78539</v>
      </c>
      <c r="N14" s="8">
        <v>0.13541666666666666</v>
      </c>
      <c r="O14" s="8">
        <v>80</v>
      </c>
      <c r="P14" s="8">
        <v>277156</v>
      </c>
      <c r="Q14" s="8">
        <f>YEAR(Table13[[#This Row],[release_date]])</f>
        <v>2024</v>
      </c>
      <c r="R14" s="8">
        <f>ROUND(Table13[[#This Row],[duration_ms]]/60000,2)</f>
        <v>4.62</v>
      </c>
      <c r="S14" s="8" t="str">
        <f>IF(Table13[[#This Row],[valence]]&gt;=0.6, "Happy", IF(Table13[[#This Row],[valence]]&gt;=0.4, "Neutral", "Sad"))</f>
        <v>Sad</v>
      </c>
      <c r="T14" s="8" t="str">
        <f>IF(Table13[[#This Row],[energy]]&gt;=0.7, "High Energy", IF(Table13[[#This Row],[energy]]&gt;=0.4, "Medium Energy", "Low Energy"))</f>
        <v>Low Energy</v>
      </c>
      <c r="U14" s="17" t="str">
        <f>IF(Table13[[#This Row],[popularity]]&gt;70, "Popular", IF(Table13[[#This Row],[popularity]]&lt;40, "Less Popular", "Mid"))</f>
        <v>Popular</v>
      </c>
    </row>
    <row r="15" spans="1:21" x14ac:dyDescent="0.3">
      <c r="B15" s="8" t="s">
        <v>36</v>
      </c>
      <c r="C15" s="8" t="s">
        <v>16</v>
      </c>
      <c r="D15" s="9">
        <v>45401</v>
      </c>
      <c r="E15" s="8">
        <v>13</v>
      </c>
      <c r="F15" s="8">
        <v>8.5416666666666655E-2</v>
      </c>
      <c r="G15" s="8">
        <v>0.48680555555555555</v>
      </c>
      <c r="H15" s="8">
        <v>0.52152777777777781</v>
      </c>
      <c r="I15" s="11">
        <v>0</v>
      </c>
      <c r="J15" s="11">
        <v>1.0416666666666666E-2</v>
      </c>
      <c r="K15" s="8" t="s">
        <v>37</v>
      </c>
      <c r="L15" s="8">
        <v>0.34861111111111115</v>
      </c>
      <c r="M15" s="10">
        <v>129994</v>
      </c>
      <c r="N15" s="11">
        <v>1.5277777777777777E-2</v>
      </c>
      <c r="O15" s="8">
        <v>82</v>
      </c>
      <c r="P15" s="8">
        <v>218004</v>
      </c>
      <c r="Q15" s="8">
        <f>YEAR(Table13[[#This Row],[release_date]])</f>
        <v>2024</v>
      </c>
      <c r="R15" s="8">
        <f>ROUND(Table13[[#This Row],[duration_ms]]/60000,2)</f>
        <v>3.63</v>
      </c>
      <c r="S15" s="8" t="str">
        <f>IF(Table13[[#This Row],[valence]]&gt;=0.6, "Happy", IF(Table13[[#This Row],[valence]]&gt;=0.4, "Neutral", "Sad"))</f>
        <v>Sad</v>
      </c>
      <c r="T15" s="8" t="str">
        <f>IF(Table13[[#This Row],[energy]]&gt;=0.7, "High Energy", IF(Table13[[#This Row],[energy]]&gt;=0.4, "Medium Energy", "Low Energy"))</f>
        <v>Medium Energy</v>
      </c>
      <c r="U15" s="17" t="str">
        <f>IF(Table13[[#This Row],[popularity]]&gt;70, "Popular", IF(Table13[[#This Row],[popularity]]&lt;40, "Less Popular", "Mid"))</f>
        <v>Popular</v>
      </c>
    </row>
    <row r="16" spans="1:21" x14ac:dyDescent="0.3">
      <c r="B16" s="8" t="s">
        <v>38</v>
      </c>
      <c r="C16" s="8" t="s">
        <v>16</v>
      </c>
      <c r="D16" s="9">
        <v>45401</v>
      </c>
      <c r="E16" s="8">
        <v>14</v>
      </c>
      <c r="F16" s="11">
        <v>3.6111111111111115E-2</v>
      </c>
      <c r="G16" s="8">
        <v>0.29583333333333334</v>
      </c>
      <c r="H16" s="11">
        <v>2.8472222222222222E-2</v>
      </c>
      <c r="I16" s="11">
        <v>0</v>
      </c>
      <c r="J16" s="8">
        <v>0.23472222222222225</v>
      </c>
      <c r="K16" s="10">
        <v>-9083</v>
      </c>
      <c r="L16" s="8">
        <v>0.40347222222222223</v>
      </c>
      <c r="M16" s="10">
        <v>142377</v>
      </c>
      <c r="N16" s="8">
        <v>0.18263888888888891</v>
      </c>
      <c r="O16" s="8">
        <v>81</v>
      </c>
      <c r="P16" s="8">
        <v>245541</v>
      </c>
      <c r="Q16" s="8">
        <f>YEAR(Table13[[#This Row],[release_date]])</f>
        <v>2024</v>
      </c>
      <c r="R16" s="8">
        <f>ROUND(Table13[[#This Row],[duration_ms]]/60000,2)</f>
        <v>4.09</v>
      </c>
      <c r="S16" s="8" t="str">
        <f>IF(Table13[[#This Row],[valence]]&gt;=0.6, "Happy", IF(Table13[[#This Row],[valence]]&gt;=0.4, "Neutral", "Sad"))</f>
        <v>Sad</v>
      </c>
      <c r="T16" s="8" t="str">
        <f>IF(Table13[[#This Row],[energy]]&gt;=0.7, "High Energy", IF(Table13[[#This Row],[energy]]&gt;=0.4, "Medium Energy", "Low Energy"))</f>
        <v>Low Energy</v>
      </c>
      <c r="U16" s="17" t="str">
        <f>IF(Table13[[#This Row],[popularity]]&gt;70, "Popular", IF(Table13[[#This Row],[popularity]]&lt;40, "Less Popular", "Mid"))</f>
        <v>Popular</v>
      </c>
    </row>
    <row r="17" spans="2:21" x14ac:dyDescent="0.3">
      <c r="B17" s="8" t="s">
        <v>39</v>
      </c>
      <c r="C17" s="8" t="s">
        <v>16</v>
      </c>
      <c r="D17" s="9">
        <v>45401</v>
      </c>
      <c r="E17" s="8">
        <v>15</v>
      </c>
      <c r="F17" s="8">
        <v>0.29305555555555557</v>
      </c>
      <c r="G17" s="8">
        <v>4.4444444444444446E-2</v>
      </c>
      <c r="H17" s="8">
        <v>0.29236111111111113</v>
      </c>
      <c r="I17" s="11">
        <v>0</v>
      </c>
      <c r="J17" s="8">
        <v>7.1527777777777773E-2</v>
      </c>
      <c r="K17" s="10">
        <v>-8802</v>
      </c>
      <c r="L17" s="8">
        <v>0.18958333333333333</v>
      </c>
      <c r="M17" s="10">
        <v>100056</v>
      </c>
      <c r="N17" s="8">
        <v>0.24513888888888891</v>
      </c>
      <c r="O17" s="8">
        <v>78</v>
      </c>
      <c r="P17" s="8">
        <v>196900</v>
      </c>
      <c r="Q17" s="8">
        <f>YEAR(Table13[[#This Row],[release_date]])</f>
        <v>2024</v>
      </c>
      <c r="R17" s="8">
        <f>ROUND(Table13[[#This Row],[duration_ms]]/60000,2)</f>
        <v>3.28</v>
      </c>
      <c r="S17" s="8" t="str">
        <f>IF(Table13[[#This Row],[valence]]&gt;=0.6, "Happy", IF(Table13[[#This Row],[valence]]&gt;=0.4, "Neutral", "Sad"))</f>
        <v>Sad</v>
      </c>
      <c r="T17" s="8" t="str">
        <f>IF(Table13[[#This Row],[energy]]&gt;=0.7, "High Energy", IF(Table13[[#This Row],[energy]]&gt;=0.4, "Medium Energy", "Low Energy"))</f>
        <v>Low Energy</v>
      </c>
      <c r="U17" s="17" t="str">
        <f>IF(Table13[[#This Row],[popularity]]&gt;70, "Popular", IF(Table13[[#This Row],[popularity]]&lt;40, "Less Popular", "Mid"))</f>
        <v>Popular</v>
      </c>
    </row>
    <row r="18" spans="2:21" x14ac:dyDescent="0.3">
      <c r="B18" s="8" t="s">
        <v>40</v>
      </c>
      <c r="C18" s="8" t="s">
        <v>16</v>
      </c>
      <c r="D18" s="9">
        <v>45401</v>
      </c>
      <c r="E18" s="8">
        <v>16</v>
      </c>
      <c r="F18" s="8">
        <v>0.44166666666666665</v>
      </c>
      <c r="G18" s="8">
        <v>0.47638888888888892</v>
      </c>
      <c r="H18" s="8">
        <v>0.22083333333333333</v>
      </c>
      <c r="I18" s="8" t="s">
        <v>41</v>
      </c>
      <c r="J18" s="8">
        <v>7.3611111111111113E-2</v>
      </c>
      <c r="K18" s="10">
        <v>-11046</v>
      </c>
      <c r="L18" s="8">
        <v>0.18263888888888891</v>
      </c>
      <c r="M18" s="10">
        <v>104088</v>
      </c>
      <c r="N18" s="8">
        <v>0.14861111111111111</v>
      </c>
      <c r="O18" s="8">
        <v>76</v>
      </c>
      <c r="P18" s="8">
        <v>216662</v>
      </c>
      <c r="Q18" s="8">
        <f>YEAR(Table13[[#This Row],[release_date]])</f>
        <v>2024</v>
      </c>
      <c r="R18" s="8">
        <f>ROUND(Table13[[#This Row],[duration_ms]]/60000,2)</f>
        <v>3.61</v>
      </c>
      <c r="S18" s="8" t="str">
        <f>IF(Table13[[#This Row],[valence]]&gt;=0.6, "Happy", IF(Table13[[#This Row],[valence]]&gt;=0.4, "Neutral", "Sad"))</f>
        <v>Sad</v>
      </c>
      <c r="T18" s="8" t="str">
        <f>IF(Table13[[#This Row],[energy]]&gt;=0.7, "High Energy", IF(Table13[[#This Row],[energy]]&gt;=0.4, "Medium Energy", "Low Energy"))</f>
        <v>Low Energy</v>
      </c>
      <c r="U18" s="17" t="str">
        <f>IF(Table13[[#This Row],[popularity]]&gt;70, "Popular", IF(Table13[[#This Row],[popularity]]&lt;40, "Less Popular", "Mid"))</f>
        <v>Popular</v>
      </c>
    </row>
    <row r="19" spans="2:21" x14ac:dyDescent="0.3">
      <c r="B19" s="8" t="s">
        <v>42</v>
      </c>
      <c r="C19" s="8" t="s">
        <v>16</v>
      </c>
      <c r="D19" s="9">
        <v>45401</v>
      </c>
      <c r="E19" s="8">
        <v>17</v>
      </c>
      <c r="F19" s="8">
        <v>0.4909722222222222</v>
      </c>
      <c r="G19" s="8">
        <v>0.3659722222222222</v>
      </c>
      <c r="H19" s="11">
        <v>1.8749999999999999E-2</v>
      </c>
      <c r="I19" s="11">
        <v>0</v>
      </c>
      <c r="J19" s="8">
        <v>7.0833333333333331E-2</v>
      </c>
      <c r="K19" s="10">
        <v>-10855</v>
      </c>
      <c r="L19" s="8" t="s">
        <v>43</v>
      </c>
      <c r="M19" s="10">
        <v>154042</v>
      </c>
      <c r="N19" s="11">
        <v>1.5972222222222224E-2</v>
      </c>
      <c r="O19" s="8">
        <v>79</v>
      </c>
      <c r="P19" s="8">
        <v>238857</v>
      </c>
      <c r="Q19" s="8">
        <f>YEAR(Table13[[#This Row],[release_date]])</f>
        <v>2024</v>
      </c>
      <c r="R19" s="8">
        <f>ROUND(Table13[[#This Row],[duration_ms]]/60000,2)</f>
        <v>3.98</v>
      </c>
      <c r="S19" s="8" t="str">
        <f>IF(Table13[[#This Row],[valence]]&gt;=0.6, "Happy", IF(Table13[[#This Row],[valence]]&gt;=0.4, "Neutral", "Sad"))</f>
        <v>Sad</v>
      </c>
      <c r="T19" s="8" t="str">
        <f>IF(Table13[[#This Row],[energy]]&gt;=0.7, "High Energy", IF(Table13[[#This Row],[energy]]&gt;=0.4, "Medium Energy", "Low Energy"))</f>
        <v>Low Energy</v>
      </c>
      <c r="U19" s="17" t="str">
        <f>IF(Table13[[#This Row],[popularity]]&gt;70, "Popular", IF(Table13[[#This Row],[popularity]]&lt;40, "Less Popular", "Mid"))</f>
        <v>Popular</v>
      </c>
    </row>
    <row r="20" spans="2:21" x14ac:dyDescent="0.3">
      <c r="B20" s="8" t="s">
        <v>44</v>
      </c>
      <c r="C20" s="8" t="s">
        <v>16</v>
      </c>
      <c r="D20" s="9">
        <v>45401</v>
      </c>
      <c r="E20" s="8">
        <v>18</v>
      </c>
      <c r="F20" s="8">
        <v>0.42222222222222222</v>
      </c>
      <c r="G20" s="8">
        <v>0.5444444444444444</v>
      </c>
      <c r="H20" s="8">
        <v>0.27152777777777776</v>
      </c>
      <c r="I20" s="11">
        <v>0</v>
      </c>
      <c r="J20" s="8">
        <v>0.17500000000000002</v>
      </c>
      <c r="K20" s="10">
        <v>-9471</v>
      </c>
      <c r="L20" s="8">
        <v>0.43958333333333338</v>
      </c>
      <c r="M20" s="10">
        <v>110007</v>
      </c>
      <c r="N20" s="11">
        <v>1.0416666666666666E-2</v>
      </c>
      <c r="O20" s="8">
        <v>81</v>
      </c>
      <c r="P20" s="8">
        <v>222072</v>
      </c>
      <c r="Q20" s="8">
        <f>YEAR(Table13[[#This Row],[release_date]])</f>
        <v>2024</v>
      </c>
      <c r="R20" s="8">
        <f>ROUND(Table13[[#This Row],[duration_ms]]/60000,2)</f>
        <v>3.7</v>
      </c>
      <c r="S20" s="8" t="str">
        <f>IF(Table13[[#This Row],[valence]]&gt;=0.6, "Happy", IF(Table13[[#This Row],[valence]]&gt;=0.4, "Neutral", "Sad"))</f>
        <v>Sad</v>
      </c>
      <c r="T20" s="8" t="str">
        <f>IF(Table13[[#This Row],[energy]]&gt;=0.7, "High Energy", IF(Table13[[#This Row],[energy]]&gt;=0.4, "Medium Energy", "Low Energy"))</f>
        <v>Low Energy</v>
      </c>
      <c r="U20" s="17" t="str">
        <f>IF(Table13[[#This Row],[popularity]]&gt;70, "Popular", IF(Table13[[#This Row],[popularity]]&lt;40, "Less Popular", "Mid"))</f>
        <v>Popular</v>
      </c>
    </row>
    <row r="21" spans="2:21" x14ac:dyDescent="0.3">
      <c r="B21" s="8" t="s">
        <v>45</v>
      </c>
      <c r="C21" s="8" t="s">
        <v>16</v>
      </c>
      <c r="D21" s="9">
        <v>45401</v>
      </c>
      <c r="E21" s="8">
        <v>19</v>
      </c>
      <c r="F21" s="8">
        <v>0.4548611111111111</v>
      </c>
      <c r="G21" s="8">
        <v>0.24444444444444444</v>
      </c>
      <c r="H21" s="8">
        <v>0.33263888888888887</v>
      </c>
      <c r="I21" s="11">
        <v>0</v>
      </c>
      <c r="J21" s="8">
        <v>0.64930555555555558</v>
      </c>
      <c r="K21" s="10">
        <v>-8942</v>
      </c>
      <c r="L21" s="8">
        <v>0.40486111111111112</v>
      </c>
      <c r="M21" s="10">
        <v>172013</v>
      </c>
      <c r="N21" s="8">
        <v>0.20277777777777775</v>
      </c>
      <c r="O21" s="8">
        <v>77</v>
      </c>
      <c r="P21" s="8">
        <v>183878</v>
      </c>
      <c r="Q21" s="8">
        <f>YEAR(Table13[[#This Row],[release_date]])</f>
        <v>2024</v>
      </c>
      <c r="R21" s="8">
        <f>ROUND(Table13[[#This Row],[duration_ms]]/60000,2)</f>
        <v>3.06</v>
      </c>
      <c r="S21" s="8" t="str">
        <f>IF(Table13[[#This Row],[valence]]&gt;=0.6, "Happy", IF(Table13[[#This Row],[valence]]&gt;=0.4, "Neutral", "Sad"))</f>
        <v>Sad</v>
      </c>
      <c r="T21" s="8" t="str">
        <f>IF(Table13[[#This Row],[energy]]&gt;=0.7, "High Energy", IF(Table13[[#This Row],[energy]]&gt;=0.4, "Medium Energy", "Low Energy"))</f>
        <v>Low Energy</v>
      </c>
      <c r="U21" s="17" t="str">
        <f>IF(Table13[[#This Row],[popularity]]&gt;70, "Popular", IF(Table13[[#This Row],[popularity]]&lt;40, "Less Popular", "Mid"))</f>
        <v>Popular</v>
      </c>
    </row>
    <row r="22" spans="2:21" x14ac:dyDescent="0.3">
      <c r="B22" s="8" t="s">
        <v>46</v>
      </c>
      <c r="C22" s="8" t="s">
        <v>16</v>
      </c>
      <c r="D22" s="9">
        <v>45401</v>
      </c>
      <c r="E22" s="8">
        <v>20</v>
      </c>
      <c r="F22" s="8">
        <v>5.4166666666666669E-2</v>
      </c>
      <c r="G22" s="8">
        <v>0.35833333333333334</v>
      </c>
      <c r="H22" s="8">
        <v>0.31319444444444444</v>
      </c>
      <c r="I22" s="11">
        <v>0</v>
      </c>
      <c r="J22" s="8">
        <v>7.2916666666666671E-2</v>
      </c>
      <c r="K22" s="10">
        <v>-8552</v>
      </c>
      <c r="L22" s="8">
        <v>0.30972222222222223</v>
      </c>
      <c r="M22" s="10">
        <v>70266</v>
      </c>
      <c r="N22" s="8">
        <v>0.15138888888888888</v>
      </c>
      <c r="O22" s="8">
        <v>77</v>
      </c>
      <c r="P22" s="8">
        <v>213281</v>
      </c>
      <c r="Q22" s="8">
        <f>YEAR(Table13[[#This Row],[release_date]])</f>
        <v>2024</v>
      </c>
      <c r="R22" s="8">
        <f>ROUND(Table13[[#This Row],[duration_ms]]/60000,2)</f>
        <v>3.55</v>
      </c>
      <c r="S22" s="8" t="str">
        <f>IF(Table13[[#This Row],[valence]]&gt;=0.6, "Happy", IF(Table13[[#This Row],[valence]]&gt;=0.4, "Neutral", "Sad"))</f>
        <v>Sad</v>
      </c>
      <c r="T22" s="8" t="str">
        <f>IF(Table13[[#This Row],[energy]]&gt;=0.7, "High Energy", IF(Table13[[#This Row],[energy]]&gt;=0.4, "Medium Energy", "Low Energy"))</f>
        <v>Low Energy</v>
      </c>
      <c r="U22" s="17" t="str">
        <f>IF(Table13[[#This Row],[popularity]]&gt;70, "Popular", IF(Table13[[#This Row],[popularity]]&lt;40, "Less Popular", "Mid"))</f>
        <v>Popular</v>
      </c>
    </row>
    <row r="23" spans="2:21" x14ac:dyDescent="0.3">
      <c r="B23" s="8" t="s">
        <v>47</v>
      </c>
      <c r="C23" s="8" t="s">
        <v>16</v>
      </c>
      <c r="D23" s="9">
        <v>45401</v>
      </c>
      <c r="E23" s="8">
        <v>21</v>
      </c>
      <c r="F23" s="8">
        <v>0.54513888888888895</v>
      </c>
      <c r="G23" s="8">
        <v>0.34166666666666662</v>
      </c>
      <c r="H23" s="8">
        <v>0.26319444444444445</v>
      </c>
      <c r="I23" s="8" t="s">
        <v>48</v>
      </c>
      <c r="J23" s="8">
        <v>7.4999999999999997E-2</v>
      </c>
      <c r="K23" s="10">
        <v>-8859</v>
      </c>
      <c r="L23" s="8">
        <v>0.17847222222222223</v>
      </c>
      <c r="M23" s="10">
        <v>83993</v>
      </c>
      <c r="N23" s="8">
        <v>0.18958333333333333</v>
      </c>
      <c r="O23" s="8">
        <v>80</v>
      </c>
      <c r="P23" s="8">
        <v>238706</v>
      </c>
      <c r="Q23" s="8">
        <f>YEAR(Table13[[#This Row],[release_date]])</f>
        <v>2024</v>
      </c>
      <c r="R23" s="8">
        <f>ROUND(Table13[[#This Row],[duration_ms]]/60000,2)</f>
        <v>3.98</v>
      </c>
      <c r="S23" s="8" t="str">
        <f>IF(Table13[[#This Row],[valence]]&gt;=0.6, "Happy", IF(Table13[[#This Row],[valence]]&gt;=0.4, "Neutral", "Sad"))</f>
        <v>Sad</v>
      </c>
      <c r="T23" s="8" t="str">
        <f>IF(Table13[[#This Row],[energy]]&gt;=0.7, "High Energy", IF(Table13[[#This Row],[energy]]&gt;=0.4, "Medium Energy", "Low Energy"))</f>
        <v>Low Energy</v>
      </c>
      <c r="U23" s="17" t="str">
        <f>IF(Table13[[#This Row],[popularity]]&gt;70, "Popular", IF(Table13[[#This Row],[popularity]]&lt;40, "Less Popular", "Mid"))</f>
        <v>Popular</v>
      </c>
    </row>
    <row r="24" spans="2:21" x14ac:dyDescent="0.3">
      <c r="B24" s="8" t="s">
        <v>49</v>
      </c>
      <c r="C24" s="8" t="s">
        <v>16</v>
      </c>
      <c r="D24" s="9">
        <v>45401</v>
      </c>
      <c r="E24" s="8">
        <v>22</v>
      </c>
      <c r="F24" s="8">
        <v>0.19027777777777777</v>
      </c>
      <c r="G24" s="8">
        <v>0.25416666666666665</v>
      </c>
      <c r="H24" s="8">
        <v>0.60138888888888886</v>
      </c>
      <c r="I24" s="8" t="s">
        <v>50</v>
      </c>
      <c r="J24" s="8">
        <v>7.3611111111111113E-2</v>
      </c>
      <c r="K24" s="10">
        <v>-4514</v>
      </c>
      <c r="L24" s="8">
        <v>0.32361111111111113</v>
      </c>
      <c r="M24" s="14">
        <v>7.3381944444444445</v>
      </c>
      <c r="N24" s="8">
        <v>0.20347222222222225</v>
      </c>
      <c r="O24" s="8">
        <v>82</v>
      </c>
      <c r="P24" s="8">
        <v>228800</v>
      </c>
      <c r="Q24" s="8">
        <f>YEAR(Table13[[#This Row],[release_date]])</f>
        <v>2024</v>
      </c>
      <c r="R24" s="8">
        <f>ROUND(Table13[[#This Row],[duration_ms]]/60000,2)</f>
        <v>3.81</v>
      </c>
      <c r="S24" s="8" t="str">
        <f>IF(Table13[[#This Row],[valence]]&gt;=0.6, "Happy", IF(Table13[[#This Row],[valence]]&gt;=0.4, "Neutral", "Sad"))</f>
        <v>Sad</v>
      </c>
      <c r="T24" s="8" t="str">
        <f>IF(Table13[[#This Row],[energy]]&gt;=0.7, "High Energy", IF(Table13[[#This Row],[energy]]&gt;=0.4, "Medium Energy", "Low Energy"))</f>
        <v>Medium Energy</v>
      </c>
      <c r="U24" s="17" t="str">
        <f>IF(Table13[[#This Row],[popularity]]&gt;70, "Popular", IF(Table13[[#This Row],[popularity]]&lt;40, "Less Popular", "Mid"))</f>
        <v>Popular</v>
      </c>
    </row>
    <row r="25" spans="2:21" x14ac:dyDescent="0.3">
      <c r="B25" s="8" t="s">
        <v>51</v>
      </c>
      <c r="C25" s="8" t="s">
        <v>16</v>
      </c>
      <c r="D25" s="9">
        <v>45401</v>
      </c>
      <c r="E25" s="8">
        <v>23</v>
      </c>
      <c r="F25" s="8">
        <v>0.49791666666666662</v>
      </c>
      <c r="G25" s="8">
        <v>0.33680555555555558</v>
      </c>
      <c r="H25" s="8">
        <v>0.39027777777777778</v>
      </c>
      <c r="I25" s="11">
        <v>0</v>
      </c>
      <c r="J25" s="8">
        <v>0.24791666666666667</v>
      </c>
      <c r="K25" s="10">
        <v>-7197</v>
      </c>
      <c r="L25" s="8">
        <v>0.24027777777777778</v>
      </c>
      <c r="M25" s="10">
        <v>105953</v>
      </c>
      <c r="N25" s="8">
        <v>0.20625000000000002</v>
      </c>
      <c r="O25" s="8">
        <v>78</v>
      </c>
      <c r="P25" s="8">
        <v>243875</v>
      </c>
      <c r="Q25" s="8">
        <f>YEAR(Table13[[#This Row],[release_date]])</f>
        <v>2024</v>
      </c>
      <c r="R25" s="8">
        <f>ROUND(Table13[[#This Row],[duration_ms]]/60000,2)</f>
        <v>4.0599999999999996</v>
      </c>
      <c r="S25" s="8" t="str">
        <f>IF(Table13[[#This Row],[valence]]&gt;=0.6, "Happy", IF(Table13[[#This Row],[valence]]&gt;=0.4, "Neutral", "Sad"))</f>
        <v>Sad</v>
      </c>
      <c r="T25" s="8" t="str">
        <f>IF(Table13[[#This Row],[energy]]&gt;=0.7, "High Energy", IF(Table13[[#This Row],[energy]]&gt;=0.4, "Medium Energy", "Low Energy"))</f>
        <v>Low Energy</v>
      </c>
      <c r="U25" s="17" t="str">
        <f>IF(Table13[[#This Row],[popularity]]&gt;70, "Popular", IF(Table13[[#This Row],[popularity]]&lt;40, "Less Popular", "Mid"))</f>
        <v>Popular</v>
      </c>
    </row>
    <row r="26" spans="2:21" x14ac:dyDescent="0.3">
      <c r="B26" s="8" t="s">
        <v>52</v>
      </c>
      <c r="C26" s="8" t="s">
        <v>16</v>
      </c>
      <c r="D26" s="9">
        <v>45401</v>
      </c>
      <c r="E26" s="8">
        <v>24</v>
      </c>
      <c r="F26" s="8">
        <v>0.42291666666666666</v>
      </c>
      <c r="G26" s="8">
        <v>0.42291666666666666</v>
      </c>
      <c r="H26" s="8">
        <v>0.3756944444444445</v>
      </c>
      <c r="I26" s="11">
        <v>0</v>
      </c>
      <c r="J26" s="8">
        <v>8.4722222222222213E-2</v>
      </c>
      <c r="K26" s="10">
        <v>-8013</v>
      </c>
      <c r="L26" s="8">
        <v>0.24027777777777778</v>
      </c>
      <c r="M26" s="10">
        <v>95997</v>
      </c>
      <c r="N26" s="8">
        <v>0.17500000000000002</v>
      </c>
      <c r="O26" s="8">
        <v>76</v>
      </c>
      <c r="P26" s="8">
        <v>263817</v>
      </c>
      <c r="Q26" s="8">
        <f>YEAR(Table13[[#This Row],[release_date]])</f>
        <v>2024</v>
      </c>
      <c r="R26" s="8">
        <f>ROUND(Table13[[#This Row],[duration_ms]]/60000,2)</f>
        <v>4.4000000000000004</v>
      </c>
      <c r="S26" s="8" t="str">
        <f>IF(Table13[[#This Row],[valence]]&gt;=0.6, "Happy", IF(Table13[[#This Row],[valence]]&gt;=0.4, "Neutral", "Sad"))</f>
        <v>Sad</v>
      </c>
      <c r="T26" s="8" t="str">
        <f>IF(Table13[[#This Row],[energy]]&gt;=0.7, "High Energy", IF(Table13[[#This Row],[energy]]&gt;=0.4, "Medium Energy", "Low Energy"))</f>
        <v>Low Energy</v>
      </c>
      <c r="U26" s="17" t="str">
        <f>IF(Table13[[#This Row],[popularity]]&gt;70, "Popular", IF(Table13[[#This Row],[popularity]]&lt;40, "Less Popular", "Mid"))</f>
        <v>Popular</v>
      </c>
    </row>
    <row r="27" spans="2:21" x14ac:dyDescent="0.3">
      <c r="B27" s="8" t="s">
        <v>53</v>
      </c>
      <c r="C27" s="8" t="s">
        <v>16</v>
      </c>
      <c r="D27" s="9">
        <v>45401</v>
      </c>
      <c r="E27" s="8">
        <v>25</v>
      </c>
      <c r="F27" s="8">
        <v>4.7916666666666663E-2</v>
      </c>
      <c r="G27" s="8">
        <v>0.52986111111111112</v>
      </c>
      <c r="H27" s="8">
        <v>0.19027777777777777</v>
      </c>
      <c r="I27" s="11">
        <v>0</v>
      </c>
      <c r="J27" s="8">
        <v>0.11388888888888889</v>
      </c>
      <c r="K27" s="10">
        <v>-11429</v>
      </c>
      <c r="L27" s="8">
        <v>0.51250000000000007</v>
      </c>
      <c r="M27" s="10">
        <v>90796</v>
      </c>
      <c r="N27" s="8">
        <v>0.2673611111111111</v>
      </c>
      <c r="O27" s="8">
        <v>76</v>
      </c>
      <c r="P27" s="8">
        <v>131907</v>
      </c>
      <c r="Q27" s="8">
        <f>YEAR(Table13[[#This Row],[release_date]])</f>
        <v>2024</v>
      </c>
      <c r="R27" s="8">
        <f>ROUND(Table13[[#This Row],[duration_ms]]/60000,2)</f>
        <v>2.2000000000000002</v>
      </c>
      <c r="S27" s="8" t="str">
        <f>IF(Table13[[#This Row],[valence]]&gt;=0.6, "Happy", IF(Table13[[#This Row],[valence]]&gt;=0.4, "Neutral", "Sad"))</f>
        <v>Sad</v>
      </c>
      <c r="T27" s="8" t="str">
        <f>IF(Table13[[#This Row],[energy]]&gt;=0.7, "High Energy", IF(Table13[[#This Row],[energy]]&gt;=0.4, "Medium Energy", "Low Energy"))</f>
        <v>Low Energy</v>
      </c>
      <c r="U27" s="17" t="str">
        <f>IF(Table13[[#This Row],[popularity]]&gt;70, "Popular", IF(Table13[[#This Row],[popularity]]&lt;40, "Less Popular", "Mid"))</f>
        <v>Popular</v>
      </c>
    </row>
    <row r="28" spans="2:21" x14ac:dyDescent="0.3">
      <c r="B28" s="8" t="s">
        <v>54</v>
      </c>
      <c r="C28" s="8" t="s">
        <v>16</v>
      </c>
      <c r="D28" s="9">
        <v>45401</v>
      </c>
      <c r="E28" s="8">
        <v>26</v>
      </c>
      <c r="F28" s="8">
        <v>0.57291666666666663</v>
      </c>
      <c r="G28" s="8">
        <v>0.29236111111111113</v>
      </c>
      <c r="H28" s="8">
        <v>0.36458333333333331</v>
      </c>
      <c r="I28" s="8" t="s">
        <v>55</v>
      </c>
      <c r="J28" s="8">
        <v>0.21388888888888891</v>
      </c>
      <c r="K28" s="10">
        <v>-10359</v>
      </c>
      <c r="L28" s="8">
        <v>0.32777777777777778</v>
      </c>
      <c r="M28" s="10">
        <v>167927</v>
      </c>
      <c r="N28" s="8">
        <v>0.37152777777777773</v>
      </c>
      <c r="O28" s="8">
        <v>81</v>
      </c>
      <c r="P28" s="8">
        <v>249807</v>
      </c>
      <c r="Q28" s="8">
        <f>YEAR(Table13[[#This Row],[release_date]])</f>
        <v>2024</v>
      </c>
      <c r="R28" s="8">
        <f>ROUND(Table13[[#This Row],[duration_ms]]/60000,2)</f>
        <v>4.16</v>
      </c>
      <c r="S28" s="8" t="str">
        <f>IF(Table13[[#This Row],[valence]]&gt;=0.6, "Happy", IF(Table13[[#This Row],[valence]]&gt;=0.4, "Neutral", "Sad"))</f>
        <v>Sad</v>
      </c>
      <c r="T28" s="8" t="str">
        <f>IF(Table13[[#This Row],[energy]]&gt;=0.7, "High Energy", IF(Table13[[#This Row],[energy]]&gt;=0.4, "Medium Energy", "Low Energy"))</f>
        <v>Low Energy</v>
      </c>
      <c r="U28" s="17" t="str">
        <f>IF(Table13[[#This Row],[popularity]]&gt;70, "Popular", IF(Table13[[#This Row],[popularity]]&lt;40, "Less Popular", "Mid"))</f>
        <v>Popular</v>
      </c>
    </row>
    <row r="29" spans="2:21" x14ac:dyDescent="0.3">
      <c r="B29" s="8" t="s">
        <v>56</v>
      </c>
      <c r="C29" s="8" t="s">
        <v>16</v>
      </c>
      <c r="D29" s="9">
        <v>45401</v>
      </c>
      <c r="E29" s="8">
        <v>27</v>
      </c>
      <c r="F29" s="8">
        <v>0.55972222222222223</v>
      </c>
      <c r="G29" s="8">
        <v>0.40763888888888888</v>
      </c>
      <c r="H29" s="8">
        <v>0.40763888888888888</v>
      </c>
      <c r="I29" s="11">
        <v>0</v>
      </c>
      <c r="J29" s="8">
        <v>9.5138888888888884E-2</v>
      </c>
      <c r="K29" s="10">
        <v>-9879</v>
      </c>
      <c r="L29" s="8">
        <v>0.41319444444444442</v>
      </c>
      <c r="M29" s="10">
        <v>139963</v>
      </c>
      <c r="N29" s="8">
        <v>0.35694444444444445</v>
      </c>
      <c r="O29" s="8">
        <v>76</v>
      </c>
      <c r="P29" s="8">
        <v>240205</v>
      </c>
      <c r="Q29" s="8">
        <f>YEAR(Table13[[#This Row],[release_date]])</f>
        <v>2024</v>
      </c>
      <c r="R29" s="8">
        <f>ROUND(Table13[[#This Row],[duration_ms]]/60000,2)</f>
        <v>4</v>
      </c>
      <c r="S29" s="8" t="str">
        <f>IF(Table13[[#This Row],[valence]]&gt;=0.6, "Happy", IF(Table13[[#This Row],[valence]]&gt;=0.4, "Neutral", "Sad"))</f>
        <v>Sad</v>
      </c>
      <c r="T29" s="8" t="str">
        <f>IF(Table13[[#This Row],[energy]]&gt;=0.7, "High Energy", IF(Table13[[#This Row],[energy]]&gt;=0.4, "Medium Energy", "Low Energy"))</f>
        <v>Medium Energy</v>
      </c>
      <c r="U29" s="17" t="str">
        <f>IF(Table13[[#This Row],[popularity]]&gt;70, "Popular", IF(Table13[[#This Row],[popularity]]&lt;40, "Less Popular", "Mid"))</f>
        <v>Popular</v>
      </c>
    </row>
    <row r="30" spans="2:21" x14ac:dyDescent="0.3">
      <c r="B30" s="8" t="s">
        <v>57</v>
      </c>
      <c r="C30" s="8" t="s">
        <v>16</v>
      </c>
      <c r="D30" s="9">
        <v>45401</v>
      </c>
      <c r="E30" s="8">
        <v>28</v>
      </c>
      <c r="F30" s="8">
        <v>0.55902777777777779</v>
      </c>
      <c r="G30" s="8">
        <v>0.23750000000000002</v>
      </c>
      <c r="H30" s="8">
        <v>0.26111111111111113</v>
      </c>
      <c r="I30" s="11">
        <v>0</v>
      </c>
      <c r="J30" s="8">
        <v>0.41180555555555554</v>
      </c>
      <c r="K30" s="10">
        <v>-8212</v>
      </c>
      <c r="L30" s="8">
        <v>0.25833333333333336</v>
      </c>
      <c r="M30" s="10">
        <v>176859</v>
      </c>
      <c r="N30" s="11">
        <v>2.013888888888889E-2</v>
      </c>
      <c r="O30" s="8">
        <v>77</v>
      </c>
      <c r="P30" s="8">
        <v>283957</v>
      </c>
      <c r="Q30" s="8">
        <f>YEAR(Table13[[#This Row],[release_date]])</f>
        <v>2024</v>
      </c>
      <c r="R30" s="8">
        <f>ROUND(Table13[[#This Row],[duration_ms]]/60000,2)</f>
        <v>4.7300000000000004</v>
      </c>
      <c r="S30" s="8" t="str">
        <f>IF(Table13[[#This Row],[valence]]&gt;=0.6, "Happy", IF(Table13[[#This Row],[valence]]&gt;=0.4, "Neutral", "Sad"))</f>
        <v>Sad</v>
      </c>
      <c r="T30" s="8" t="str">
        <f>IF(Table13[[#This Row],[energy]]&gt;=0.7, "High Energy", IF(Table13[[#This Row],[energy]]&gt;=0.4, "Medium Energy", "Low Energy"))</f>
        <v>Low Energy</v>
      </c>
      <c r="U30" s="17" t="str">
        <f>IF(Table13[[#This Row],[popularity]]&gt;70, "Popular", IF(Table13[[#This Row],[popularity]]&lt;40, "Less Popular", "Mid"))</f>
        <v>Popular</v>
      </c>
    </row>
    <row r="31" spans="2:21" x14ac:dyDescent="0.3">
      <c r="B31" s="8" t="s">
        <v>58</v>
      </c>
      <c r="C31" s="8" t="s">
        <v>16</v>
      </c>
      <c r="D31" s="9">
        <v>45401</v>
      </c>
      <c r="E31" s="8">
        <v>29</v>
      </c>
      <c r="F31" s="8">
        <v>0.44305555555555554</v>
      </c>
      <c r="G31" s="8">
        <v>0.31597222222222221</v>
      </c>
      <c r="H31" s="8">
        <v>0.4069444444444445</v>
      </c>
      <c r="I31" s="11">
        <v>0</v>
      </c>
      <c r="J31" s="8">
        <v>9.0972222222222218E-2</v>
      </c>
      <c r="K31" s="10">
        <v>-7978</v>
      </c>
      <c r="L31" s="8">
        <v>0.34166666666666662</v>
      </c>
      <c r="M31" s="10">
        <v>183694</v>
      </c>
      <c r="N31" s="8">
        <v>0.33402777777777781</v>
      </c>
      <c r="O31" s="8">
        <v>77</v>
      </c>
      <c r="P31" s="8">
        <v>238241</v>
      </c>
      <c r="Q31" s="8">
        <f>YEAR(Table13[[#This Row],[release_date]])</f>
        <v>2024</v>
      </c>
      <c r="R31" s="8">
        <f>ROUND(Table13[[#This Row],[duration_ms]]/60000,2)</f>
        <v>3.97</v>
      </c>
      <c r="S31" s="8" t="str">
        <f>IF(Table13[[#This Row],[valence]]&gt;=0.6, "Happy", IF(Table13[[#This Row],[valence]]&gt;=0.4, "Neutral", "Sad"))</f>
        <v>Sad</v>
      </c>
      <c r="T31" s="8" t="str">
        <f>IF(Table13[[#This Row],[energy]]&gt;=0.7, "High Energy", IF(Table13[[#This Row],[energy]]&gt;=0.4, "Medium Energy", "Low Energy"))</f>
        <v>Medium Energy</v>
      </c>
      <c r="U31" s="17" t="str">
        <f>IF(Table13[[#This Row],[popularity]]&gt;70, "Popular", IF(Table13[[#This Row],[popularity]]&lt;40, "Less Popular", "Mid"))</f>
        <v>Popular</v>
      </c>
    </row>
    <row r="32" spans="2:21" x14ac:dyDescent="0.3">
      <c r="B32" s="8" t="s">
        <v>59</v>
      </c>
      <c r="C32" s="8" t="s">
        <v>16</v>
      </c>
      <c r="D32" s="9">
        <v>45401</v>
      </c>
      <c r="E32" s="8">
        <v>30</v>
      </c>
      <c r="F32" s="8">
        <v>0.5493055555555556</v>
      </c>
      <c r="G32" s="8">
        <v>0.33055555555555555</v>
      </c>
      <c r="H32" s="8">
        <v>0.26805555555555555</v>
      </c>
      <c r="I32" s="8" t="s">
        <v>60</v>
      </c>
      <c r="J32" s="11">
        <v>6.9444444444444447E-4</v>
      </c>
      <c r="K32" s="10">
        <v>-10601</v>
      </c>
      <c r="L32" s="11">
        <v>2.0833333333333333E-3</v>
      </c>
      <c r="M32" s="10">
        <v>138265</v>
      </c>
      <c r="N32" s="8">
        <v>0.10972222222222222</v>
      </c>
      <c r="O32" s="8">
        <v>73</v>
      </c>
      <c r="P32" s="8">
        <v>240893</v>
      </c>
      <c r="Q32" s="8">
        <f>YEAR(Table13[[#This Row],[release_date]])</f>
        <v>2024</v>
      </c>
      <c r="R32" s="8">
        <f>ROUND(Table13[[#This Row],[duration_ms]]/60000,2)</f>
        <v>4.01</v>
      </c>
      <c r="S32" s="8" t="str">
        <f>IF(Table13[[#This Row],[valence]]&gt;=0.6, "Happy", IF(Table13[[#This Row],[valence]]&gt;=0.4, "Neutral", "Sad"))</f>
        <v>Sad</v>
      </c>
      <c r="T32" s="8" t="str">
        <f>IF(Table13[[#This Row],[energy]]&gt;=0.7, "High Energy", IF(Table13[[#This Row],[energy]]&gt;=0.4, "Medium Energy", "Low Energy"))</f>
        <v>Low Energy</v>
      </c>
      <c r="U32" s="17" t="str">
        <f>IF(Table13[[#This Row],[popularity]]&gt;70, "Popular", IF(Table13[[#This Row],[popularity]]&lt;40, "Less Popular", "Mid"))</f>
        <v>Popular</v>
      </c>
    </row>
    <row r="33" spans="2:21" x14ac:dyDescent="0.3">
      <c r="B33" s="8" t="s">
        <v>61</v>
      </c>
      <c r="C33" s="8" t="s">
        <v>16</v>
      </c>
      <c r="D33" s="9">
        <v>45401</v>
      </c>
      <c r="E33" s="8">
        <v>31</v>
      </c>
      <c r="F33" s="8">
        <v>0.62569444444444444</v>
      </c>
      <c r="G33" s="8">
        <v>0.35347222222222219</v>
      </c>
      <c r="H33" s="8">
        <v>0.17777777777777778</v>
      </c>
      <c r="I33" s="8" t="s">
        <v>62</v>
      </c>
      <c r="J33" s="8">
        <v>7.1527777777777773E-2</v>
      </c>
      <c r="K33" s="10">
        <v>-11665</v>
      </c>
      <c r="L33" s="8">
        <v>0.21249999999999999</v>
      </c>
      <c r="M33" s="10">
        <v>94184</v>
      </c>
      <c r="N33" s="8">
        <v>0.30277777777777776</v>
      </c>
      <c r="O33" s="8">
        <v>74</v>
      </c>
      <c r="P33" s="8">
        <v>224743</v>
      </c>
      <c r="Q33" s="8">
        <f>YEAR(Table13[[#This Row],[release_date]])</f>
        <v>2024</v>
      </c>
      <c r="R33" s="8">
        <f>ROUND(Table13[[#This Row],[duration_ms]]/60000,2)</f>
        <v>3.75</v>
      </c>
      <c r="S33" s="8" t="str">
        <f>IF(Table13[[#This Row],[valence]]&gt;=0.6, "Happy", IF(Table13[[#This Row],[valence]]&gt;=0.4, "Neutral", "Sad"))</f>
        <v>Sad</v>
      </c>
      <c r="T33" s="8" t="str">
        <f>IF(Table13[[#This Row],[energy]]&gt;=0.7, "High Energy", IF(Table13[[#This Row],[energy]]&gt;=0.4, "Medium Energy", "Low Energy"))</f>
        <v>Low Energy</v>
      </c>
      <c r="U33" s="17" t="str">
        <f>IF(Table13[[#This Row],[popularity]]&gt;70, "Popular", IF(Table13[[#This Row],[popularity]]&lt;40, "Less Popular", "Mid"))</f>
        <v>Popular</v>
      </c>
    </row>
    <row r="34" spans="2:21" x14ac:dyDescent="0.3">
      <c r="B34" s="8" t="s">
        <v>15</v>
      </c>
      <c r="C34" s="8" t="s">
        <v>63</v>
      </c>
      <c r="D34" s="9">
        <v>45400</v>
      </c>
      <c r="E34" s="8">
        <v>1</v>
      </c>
      <c r="F34" s="8">
        <v>0.34861111111111115</v>
      </c>
      <c r="G34" s="8">
        <v>0.35000000000000003</v>
      </c>
      <c r="H34" s="8">
        <v>0.26805555555555555</v>
      </c>
      <c r="I34" s="8" t="s">
        <v>17</v>
      </c>
      <c r="J34" s="8">
        <v>0.66736111111111107</v>
      </c>
      <c r="K34" s="10">
        <v>-10976</v>
      </c>
      <c r="L34" s="8">
        <v>0.21388888888888891</v>
      </c>
      <c r="M34" s="10">
        <v>192004</v>
      </c>
      <c r="N34" s="8">
        <v>0.19513888888888889</v>
      </c>
      <c r="O34" s="8">
        <v>91</v>
      </c>
      <c r="P34" s="8">
        <v>228965</v>
      </c>
      <c r="Q34" s="8">
        <f>YEAR(Table13[[#This Row],[release_date]])</f>
        <v>2024</v>
      </c>
      <c r="R34" s="8">
        <f>ROUND(Table13[[#This Row],[duration_ms]]/60000,2)</f>
        <v>3.82</v>
      </c>
      <c r="S34" s="8" t="str">
        <f>IF(Table13[[#This Row],[valence]]&gt;=0.6, "Happy", IF(Table13[[#This Row],[valence]]&gt;=0.4, "Neutral", "Sad"))</f>
        <v>Sad</v>
      </c>
      <c r="T34" s="8" t="str">
        <f>IF(Table13[[#This Row],[energy]]&gt;=0.7, "High Energy", IF(Table13[[#This Row],[energy]]&gt;=0.4, "Medium Energy", "Low Energy"))</f>
        <v>Low Energy</v>
      </c>
      <c r="U34" s="17" t="str">
        <f>IF(Table13[[#This Row],[popularity]]&gt;70, "Popular", IF(Table13[[#This Row],[popularity]]&lt;40, "Less Popular", "Mid"))</f>
        <v>Popular</v>
      </c>
    </row>
    <row r="35" spans="2:21" x14ac:dyDescent="0.3">
      <c r="B35" s="8" t="s">
        <v>18</v>
      </c>
      <c r="C35" s="8" t="s">
        <v>63</v>
      </c>
      <c r="D35" s="9">
        <v>45400</v>
      </c>
      <c r="E35" s="8">
        <v>2</v>
      </c>
      <c r="F35" s="8">
        <v>0.3354166666666667</v>
      </c>
      <c r="G35" s="8">
        <v>0.41944444444444445</v>
      </c>
      <c r="H35" s="8">
        <v>0.29722222222222222</v>
      </c>
      <c r="I35" s="11">
        <v>0</v>
      </c>
      <c r="J35" s="8">
        <v>8.7500000000000008E-2</v>
      </c>
      <c r="K35" s="10">
        <v>-8441</v>
      </c>
      <c r="L35" s="8">
        <v>0.17708333333333334</v>
      </c>
      <c r="M35" s="10">
        <v>110259</v>
      </c>
      <c r="N35" s="8">
        <v>0.20277777777777775</v>
      </c>
      <c r="O35" s="8">
        <v>75</v>
      </c>
      <c r="P35" s="8">
        <v>293048</v>
      </c>
      <c r="Q35" s="8">
        <f>YEAR(Table13[[#This Row],[release_date]])</f>
        <v>2024</v>
      </c>
      <c r="R35" s="8">
        <f>ROUND(Table13[[#This Row],[duration_ms]]/60000,2)</f>
        <v>4.88</v>
      </c>
      <c r="S35" s="8" t="str">
        <f>IF(Table13[[#This Row],[valence]]&gt;=0.6, "Happy", IF(Table13[[#This Row],[valence]]&gt;=0.4, "Neutral", "Sad"))</f>
        <v>Sad</v>
      </c>
      <c r="T35" s="8" t="str">
        <f>IF(Table13[[#This Row],[energy]]&gt;=0.7, "High Energy", IF(Table13[[#This Row],[energy]]&gt;=0.4, "Medium Energy", "Low Energy"))</f>
        <v>Low Energy</v>
      </c>
      <c r="U35" s="17" t="str">
        <f>IF(Table13[[#This Row],[popularity]]&gt;70, "Popular", IF(Table13[[#This Row],[popularity]]&lt;40, "Less Popular", "Mid"))</f>
        <v>Popular</v>
      </c>
    </row>
    <row r="36" spans="2:21" x14ac:dyDescent="0.3">
      <c r="B36" s="8" t="s">
        <v>19</v>
      </c>
      <c r="C36" s="8" t="s">
        <v>63</v>
      </c>
      <c r="D36" s="9">
        <v>45400</v>
      </c>
      <c r="E36" s="8">
        <v>3</v>
      </c>
      <c r="F36" s="8">
        <v>9.5138888888888884E-2</v>
      </c>
      <c r="G36" s="8">
        <v>0.41388888888888892</v>
      </c>
      <c r="H36" s="8">
        <v>0.39097222222222222</v>
      </c>
      <c r="I36" s="11">
        <v>0</v>
      </c>
      <c r="J36" s="8">
        <v>0.20972222222222223</v>
      </c>
      <c r="K36" s="10">
        <v>-7362</v>
      </c>
      <c r="L36" s="8">
        <v>0.18680555555555556</v>
      </c>
      <c r="M36" s="10">
        <v>97073</v>
      </c>
      <c r="N36" s="8">
        <v>0.33402777777777781</v>
      </c>
      <c r="O36" s="8">
        <v>77</v>
      </c>
      <c r="P36" s="8">
        <v>203801</v>
      </c>
      <c r="Q36" s="8">
        <f>YEAR(Table13[[#This Row],[release_date]])</f>
        <v>2024</v>
      </c>
      <c r="R36" s="8">
        <f>ROUND(Table13[[#This Row],[duration_ms]]/60000,2)</f>
        <v>3.4</v>
      </c>
      <c r="S36" s="8" t="str">
        <f>IF(Table13[[#This Row],[valence]]&gt;=0.6, "Happy", IF(Table13[[#This Row],[valence]]&gt;=0.4, "Neutral", "Sad"))</f>
        <v>Sad</v>
      </c>
      <c r="T36" s="8" t="str">
        <f>IF(Table13[[#This Row],[energy]]&gt;=0.7, "High Energy", IF(Table13[[#This Row],[energy]]&gt;=0.4, "Medium Energy", "Low Energy"))</f>
        <v>Low Energy</v>
      </c>
      <c r="U36" s="17" t="str">
        <f>IF(Table13[[#This Row],[popularity]]&gt;70, "Popular", IF(Table13[[#This Row],[popularity]]&lt;40, "Less Popular", "Mid"))</f>
        <v>Popular</v>
      </c>
    </row>
    <row r="37" spans="2:21" x14ac:dyDescent="0.3">
      <c r="B37" s="8" t="s">
        <v>20</v>
      </c>
      <c r="C37" s="8" t="s">
        <v>63</v>
      </c>
      <c r="D37" s="9">
        <v>45400</v>
      </c>
      <c r="E37" s="8">
        <v>4</v>
      </c>
      <c r="F37" s="11">
        <v>3.888888888888889E-2</v>
      </c>
      <c r="G37" s="8">
        <v>0.3756944444444445</v>
      </c>
      <c r="H37" s="8">
        <v>0.25416666666666665</v>
      </c>
      <c r="I37" s="12">
        <v>9.9999999999999995E-7</v>
      </c>
      <c r="J37" s="8">
        <v>0.65694444444444444</v>
      </c>
      <c r="K37" s="10">
        <v>-10412</v>
      </c>
      <c r="L37" s="8">
        <v>0.51944444444444449</v>
      </c>
      <c r="M37" s="10">
        <v>159707</v>
      </c>
      <c r="N37" s="8">
        <v>0.11666666666666665</v>
      </c>
      <c r="O37" s="8">
        <v>82</v>
      </c>
      <c r="P37" s="8">
        <v>261228</v>
      </c>
      <c r="Q37" s="8">
        <f>YEAR(Table13[[#This Row],[release_date]])</f>
        <v>2024</v>
      </c>
      <c r="R37" s="8">
        <f>ROUND(Table13[[#This Row],[duration_ms]]/60000,2)</f>
        <v>4.3499999999999996</v>
      </c>
      <c r="S37" s="8" t="str">
        <f>IF(Table13[[#This Row],[valence]]&gt;=0.6, "Happy", IF(Table13[[#This Row],[valence]]&gt;=0.4, "Neutral", "Sad"))</f>
        <v>Sad</v>
      </c>
      <c r="T37" s="8" t="str">
        <f>IF(Table13[[#This Row],[energy]]&gt;=0.7, "High Energy", IF(Table13[[#This Row],[energy]]&gt;=0.4, "Medium Energy", "Low Energy"))</f>
        <v>Low Energy</v>
      </c>
      <c r="U37" s="17" t="str">
        <f>IF(Table13[[#This Row],[popularity]]&gt;70, "Popular", IF(Table13[[#This Row],[popularity]]&lt;40, "Less Popular", "Mid"))</f>
        <v>Popular</v>
      </c>
    </row>
    <row r="38" spans="2:21" x14ac:dyDescent="0.3">
      <c r="B38" s="8" t="s">
        <v>21</v>
      </c>
      <c r="C38" s="8" t="s">
        <v>63</v>
      </c>
      <c r="D38" s="9">
        <v>45400</v>
      </c>
      <c r="E38" s="8">
        <v>5</v>
      </c>
      <c r="F38" s="8">
        <v>5.0694444444444438E-2</v>
      </c>
      <c r="G38" s="8">
        <v>0.29375000000000001</v>
      </c>
      <c r="H38" s="8">
        <v>0.37013888888888885</v>
      </c>
      <c r="I38" s="8" t="s">
        <v>22</v>
      </c>
      <c r="J38" s="8">
        <v>0.56666666666666665</v>
      </c>
      <c r="K38" s="10">
        <v>-11388</v>
      </c>
      <c r="L38" s="8">
        <v>0.22361111111111109</v>
      </c>
      <c r="M38" s="10">
        <v>160218</v>
      </c>
      <c r="N38" s="8">
        <v>0.17222222222222225</v>
      </c>
      <c r="O38" s="8">
        <v>78</v>
      </c>
      <c r="P38" s="8">
        <v>262974</v>
      </c>
      <c r="Q38" s="8">
        <f>YEAR(Table13[[#This Row],[release_date]])</f>
        <v>2024</v>
      </c>
      <c r="R38" s="8">
        <f>ROUND(Table13[[#This Row],[duration_ms]]/60000,2)</f>
        <v>4.38</v>
      </c>
      <c r="S38" s="8" t="str">
        <f>IF(Table13[[#This Row],[valence]]&gt;=0.6, "Happy", IF(Table13[[#This Row],[valence]]&gt;=0.4, "Neutral", "Sad"))</f>
        <v>Sad</v>
      </c>
      <c r="T38" s="8" t="str">
        <f>IF(Table13[[#This Row],[energy]]&gt;=0.7, "High Energy", IF(Table13[[#This Row],[energy]]&gt;=0.4, "Medium Energy", "Low Energy"))</f>
        <v>Low Energy</v>
      </c>
      <c r="U38" s="17" t="str">
        <f>IF(Table13[[#This Row],[popularity]]&gt;70, "Popular", IF(Table13[[#This Row],[popularity]]&lt;40, "Less Popular", "Mid"))</f>
        <v>Popular</v>
      </c>
    </row>
    <row r="39" spans="2:21" x14ac:dyDescent="0.3">
      <c r="B39" s="8" t="s">
        <v>23</v>
      </c>
      <c r="C39" s="8" t="s">
        <v>63</v>
      </c>
      <c r="D39" s="9">
        <v>45400</v>
      </c>
      <c r="E39" s="8">
        <v>6</v>
      </c>
      <c r="F39" s="8">
        <v>0.26666666666666666</v>
      </c>
      <c r="G39" s="8">
        <v>0.36180555555555555</v>
      </c>
      <c r="H39" s="8">
        <v>4.9999999999999996E-2</v>
      </c>
      <c r="I39" s="11">
        <v>0</v>
      </c>
      <c r="J39" s="8">
        <v>9.375E-2</v>
      </c>
      <c r="K39" s="10">
        <v>-7684</v>
      </c>
      <c r="L39" s="8">
        <v>7.2222222222222229E-2</v>
      </c>
      <c r="M39" s="10">
        <v>79943</v>
      </c>
      <c r="N39" s="8">
        <v>0.30416666666666664</v>
      </c>
      <c r="O39" s="8">
        <v>78</v>
      </c>
      <c r="P39" s="8">
        <v>340428</v>
      </c>
      <c r="Q39" s="8">
        <f>YEAR(Table13[[#This Row],[release_date]])</f>
        <v>2024</v>
      </c>
      <c r="R39" s="8">
        <f>ROUND(Table13[[#This Row],[duration_ms]]/60000,2)</f>
        <v>5.67</v>
      </c>
      <c r="S39" s="8" t="str">
        <f>IF(Table13[[#This Row],[valence]]&gt;=0.6, "Happy", IF(Table13[[#This Row],[valence]]&gt;=0.4, "Neutral", "Sad"))</f>
        <v>Sad</v>
      </c>
      <c r="T39" s="8" t="str">
        <f>IF(Table13[[#This Row],[energy]]&gt;=0.7, "High Energy", IF(Table13[[#This Row],[energy]]&gt;=0.4, "Medium Energy", "Low Energy"))</f>
        <v>Low Energy</v>
      </c>
      <c r="U39" s="17" t="str">
        <f>IF(Table13[[#This Row],[popularity]]&gt;70, "Popular", IF(Table13[[#This Row],[popularity]]&lt;40, "Less Popular", "Mid"))</f>
        <v>Popular</v>
      </c>
    </row>
    <row r="40" spans="2:21" x14ac:dyDescent="0.3">
      <c r="B40" s="8" t="s">
        <v>24</v>
      </c>
      <c r="C40" s="8" t="s">
        <v>63</v>
      </c>
      <c r="D40" s="9">
        <v>45400</v>
      </c>
      <c r="E40" s="8">
        <v>7</v>
      </c>
      <c r="F40" s="8">
        <v>0.43333333333333335</v>
      </c>
      <c r="G40" s="11">
        <v>2.2916666666666669E-2</v>
      </c>
      <c r="H40" s="8">
        <v>0.3354166666666667</v>
      </c>
      <c r="I40" s="11">
        <v>0</v>
      </c>
      <c r="J40" s="8">
        <v>7.7083333333333337E-2</v>
      </c>
      <c r="K40" s="10">
        <v>-9394</v>
      </c>
      <c r="L40" s="8">
        <v>0.27708333333333335</v>
      </c>
      <c r="M40" s="10">
        <v>87115</v>
      </c>
      <c r="N40" s="11">
        <v>2.361111111111111E-2</v>
      </c>
      <c r="O40" s="8">
        <v>69</v>
      </c>
      <c r="P40" s="8">
        <v>210789</v>
      </c>
      <c r="Q40" s="8">
        <f>YEAR(Table13[[#This Row],[release_date]])</f>
        <v>2024</v>
      </c>
      <c r="R40" s="8">
        <f>ROUND(Table13[[#This Row],[duration_ms]]/60000,2)</f>
        <v>3.51</v>
      </c>
      <c r="S40" s="8" t="str">
        <f>IF(Table13[[#This Row],[valence]]&gt;=0.6, "Happy", IF(Table13[[#This Row],[valence]]&gt;=0.4, "Neutral", "Sad"))</f>
        <v>Sad</v>
      </c>
      <c r="T40" s="8" t="str">
        <f>IF(Table13[[#This Row],[energy]]&gt;=0.7, "High Energy", IF(Table13[[#This Row],[energy]]&gt;=0.4, "Medium Energy", "Low Energy"))</f>
        <v>Low Energy</v>
      </c>
      <c r="U40" s="17" t="str">
        <f>IF(Table13[[#This Row],[popularity]]&gt;70, "Popular", IF(Table13[[#This Row],[popularity]]&lt;40, "Less Popular", "Mid"))</f>
        <v>Mid</v>
      </c>
    </row>
    <row r="41" spans="2:21" x14ac:dyDescent="0.3">
      <c r="B41" s="8" t="s">
        <v>25</v>
      </c>
      <c r="C41" s="8" t="s">
        <v>63</v>
      </c>
      <c r="D41" s="9">
        <v>45400</v>
      </c>
      <c r="E41" s="8">
        <v>8</v>
      </c>
      <c r="F41" s="8">
        <v>0.12361111111111112</v>
      </c>
      <c r="G41" s="8">
        <v>0.37013888888888885</v>
      </c>
      <c r="H41" s="8">
        <v>0.3979166666666667</v>
      </c>
      <c r="I41" s="11">
        <v>0</v>
      </c>
      <c r="J41" s="8">
        <v>0.21458333333333335</v>
      </c>
      <c r="K41" s="10">
        <v>-7123</v>
      </c>
      <c r="L41" s="8">
        <v>9.5833333333333326E-2</v>
      </c>
      <c r="M41" s="10">
        <v>150088</v>
      </c>
      <c r="N41" s="8">
        <v>0.27638888888888891</v>
      </c>
      <c r="O41" s="8">
        <v>76</v>
      </c>
      <c r="P41" s="8">
        <v>215463</v>
      </c>
      <c r="Q41" s="8">
        <f>YEAR(Table13[[#This Row],[release_date]])</f>
        <v>2024</v>
      </c>
      <c r="R41" s="8">
        <f>ROUND(Table13[[#This Row],[duration_ms]]/60000,2)</f>
        <v>3.59</v>
      </c>
      <c r="S41" s="8" t="str">
        <f>IF(Table13[[#This Row],[valence]]&gt;=0.6, "Happy", IF(Table13[[#This Row],[valence]]&gt;=0.4, "Neutral", "Sad"))</f>
        <v>Sad</v>
      </c>
      <c r="T41" s="8" t="str">
        <f>IF(Table13[[#This Row],[energy]]&gt;=0.7, "High Energy", IF(Table13[[#This Row],[energy]]&gt;=0.4, "Medium Energy", "Low Energy"))</f>
        <v>Low Energy</v>
      </c>
      <c r="U41" s="17" t="str">
        <f>IF(Table13[[#This Row],[popularity]]&gt;70, "Popular", IF(Table13[[#This Row],[popularity]]&lt;40, "Less Popular", "Mid"))</f>
        <v>Popular</v>
      </c>
    </row>
    <row r="42" spans="2:21" x14ac:dyDescent="0.3">
      <c r="B42" s="8" t="s">
        <v>26</v>
      </c>
      <c r="C42" s="8" t="s">
        <v>63</v>
      </c>
      <c r="D42" s="9">
        <v>45400</v>
      </c>
      <c r="E42" s="8">
        <v>9</v>
      </c>
      <c r="F42" s="8">
        <v>0.42152777777777778</v>
      </c>
      <c r="G42" s="8">
        <v>0.43472222222222223</v>
      </c>
      <c r="H42" s="8">
        <v>0.29722222222222222</v>
      </c>
      <c r="I42" s="11">
        <v>0</v>
      </c>
      <c r="J42" s="8">
        <v>0.63958333333333328</v>
      </c>
      <c r="K42" s="10">
        <v>-8374</v>
      </c>
      <c r="L42" s="8">
        <v>0.18124999999999999</v>
      </c>
      <c r="M42" s="8" t="s">
        <v>27</v>
      </c>
      <c r="N42" s="8">
        <v>0.33819444444444446</v>
      </c>
      <c r="O42" s="8">
        <v>82</v>
      </c>
      <c r="P42" s="8">
        <v>254365</v>
      </c>
      <c r="Q42" s="8">
        <f>YEAR(Table13[[#This Row],[release_date]])</f>
        <v>2024</v>
      </c>
      <c r="R42" s="8">
        <f>ROUND(Table13[[#This Row],[duration_ms]]/60000,2)</f>
        <v>4.24</v>
      </c>
      <c r="S42" s="8" t="str">
        <f>IF(Table13[[#This Row],[valence]]&gt;=0.6, "Happy", IF(Table13[[#This Row],[valence]]&gt;=0.4, "Neutral", "Sad"))</f>
        <v>Sad</v>
      </c>
      <c r="T42" s="8" t="str">
        <f>IF(Table13[[#This Row],[energy]]&gt;=0.7, "High Energy", IF(Table13[[#This Row],[energy]]&gt;=0.4, "Medium Energy", "Low Energy"))</f>
        <v>Low Energy</v>
      </c>
      <c r="U42" s="17" t="str">
        <f>IF(Table13[[#This Row],[popularity]]&gt;70, "Popular", IF(Table13[[#This Row],[popularity]]&lt;40, "Less Popular", "Mid"))</f>
        <v>Popular</v>
      </c>
    </row>
    <row r="43" spans="2:21" x14ac:dyDescent="0.3">
      <c r="B43" s="8" t="s">
        <v>28</v>
      </c>
      <c r="C43" s="8" t="s">
        <v>63</v>
      </c>
      <c r="D43" s="9">
        <v>45400</v>
      </c>
      <c r="E43" s="8">
        <v>10</v>
      </c>
      <c r="F43" s="8">
        <v>0.21875</v>
      </c>
      <c r="G43" s="8">
        <v>0.42083333333333334</v>
      </c>
      <c r="H43" s="8">
        <v>0.23472222222222225</v>
      </c>
      <c r="I43" s="11">
        <v>0</v>
      </c>
      <c r="J43" s="8">
        <v>7.3611111111111113E-2</v>
      </c>
      <c r="K43" s="10">
        <v>-10555</v>
      </c>
      <c r="L43" s="8" t="s">
        <v>29</v>
      </c>
      <c r="M43" s="8" t="s">
        <v>30</v>
      </c>
      <c r="N43" s="8">
        <v>0.16527777777777777</v>
      </c>
      <c r="O43" s="8">
        <v>80</v>
      </c>
      <c r="P43" s="8">
        <v>334084</v>
      </c>
      <c r="Q43" s="8">
        <f>YEAR(Table13[[#This Row],[release_date]])</f>
        <v>2024</v>
      </c>
      <c r="R43" s="8">
        <f>ROUND(Table13[[#This Row],[duration_ms]]/60000,2)</f>
        <v>5.57</v>
      </c>
      <c r="S43" s="8" t="str">
        <f>IF(Table13[[#This Row],[valence]]&gt;=0.6, "Happy", IF(Table13[[#This Row],[valence]]&gt;=0.4, "Neutral", "Sad"))</f>
        <v>Sad</v>
      </c>
      <c r="T43" s="8" t="str">
        <f>IF(Table13[[#This Row],[energy]]&gt;=0.7, "High Energy", IF(Table13[[#This Row],[energy]]&gt;=0.4, "Medium Energy", "Low Energy"))</f>
        <v>Low Energy</v>
      </c>
      <c r="U43" s="17" t="str">
        <f>IF(Table13[[#This Row],[popularity]]&gt;70, "Popular", IF(Table13[[#This Row],[popularity]]&lt;40, "Less Popular", "Mid"))</f>
        <v>Popular</v>
      </c>
    </row>
    <row r="44" spans="2:21" x14ac:dyDescent="0.3">
      <c r="B44" s="8" t="s">
        <v>31</v>
      </c>
      <c r="C44" s="8" t="s">
        <v>63</v>
      </c>
      <c r="D44" s="9">
        <v>45400</v>
      </c>
      <c r="E44" s="8">
        <v>11</v>
      </c>
      <c r="F44" s="8">
        <v>0.53333333333333333</v>
      </c>
      <c r="G44" s="8">
        <v>0.45902777777777781</v>
      </c>
      <c r="H44" s="8">
        <v>0.17847222222222223</v>
      </c>
      <c r="I44" s="8" t="s">
        <v>32</v>
      </c>
      <c r="J44" s="8">
        <v>0.12222222222222222</v>
      </c>
      <c r="K44" s="10">
        <v>-13961</v>
      </c>
      <c r="L44" s="8" t="s">
        <v>33</v>
      </c>
      <c r="M44" s="10">
        <v>106896</v>
      </c>
      <c r="N44" s="8">
        <v>0.22083333333333333</v>
      </c>
      <c r="O44" s="8">
        <v>67</v>
      </c>
      <c r="P44" s="8">
        <v>156297</v>
      </c>
      <c r="Q44" s="8">
        <f>YEAR(Table13[[#This Row],[release_date]])</f>
        <v>2024</v>
      </c>
      <c r="R44" s="8">
        <f>ROUND(Table13[[#This Row],[duration_ms]]/60000,2)</f>
        <v>2.6</v>
      </c>
      <c r="S44" s="8" t="str">
        <f>IF(Table13[[#This Row],[valence]]&gt;=0.6, "Happy", IF(Table13[[#This Row],[valence]]&gt;=0.4, "Neutral", "Sad"))</f>
        <v>Sad</v>
      </c>
      <c r="T44" s="8" t="str">
        <f>IF(Table13[[#This Row],[energy]]&gt;=0.7, "High Energy", IF(Table13[[#This Row],[energy]]&gt;=0.4, "Medium Energy", "Low Energy"))</f>
        <v>Low Energy</v>
      </c>
      <c r="U44" s="17" t="str">
        <f>IF(Table13[[#This Row],[popularity]]&gt;70, "Popular", IF(Table13[[#This Row],[popularity]]&lt;40, "Less Popular", "Mid"))</f>
        <v>Mid</v>
      </c>
    </row>
    <row r="45" spans="2:21" x14ac:dyDescent="0.3">
      <c r="B45" s="8" t="s">
        <v>34</v>
      </c>
      <c r="C45" s="8" t="s">
        <v>63</v>
      </c>
      <c r="D45" s="9">
        <v>45400</v>
      </c>
      <c r="E45" s="8">
        <v>12</v>
      </c>
      <c r="F45" s="8">
        <v>0.59583333333333333</v>
      </c>
      <c r="G45" s="8">
        <v>0.29375000000000001</v>
      </c>
      <c r="H45" s="8">
        <v>0.18888888888888888</v>
      </c>
      <c r="I45" s="11">
        <v>0</v>
      </c>
      <c r="J45" s="8">
        <v>7.4999999999999997E-2</v>
      </c>
      <c r="K45" s="8" t="s">
        <v>35</v>
      </c>
      <c r="L45" s="8">
        <v>0.33958333333333335</v>
      </c>
      <c r="M45" s="10">
        <v>78539</v>
      </c>
      <c r="N45" s="8">
        <v>0.13541666666666666</v>
      </c>
      <c r="O45" s="8">
        <v>75</v>
      </c>
      <c r="P45" s="8">
        <v>277156</v>
      </c>
      <c r="Q45" s="8">
        <f>YEAR(Table13[[#This Row],[release_date]])</f>
        <v>2024</v>
      </c>
      <c r="R45" s="8">
        <f>ROUND(Table13[[#This Row],[duration_ms]]/60000,2)</f>
        <v>4.62</v>
      </c>
      <c r="S45" s="8" t="str">
        <f>IF(Table13[[#This Row],[valence]]&gt;=0.6, "Happy", IF(Table13[[#This Row],[valence]]&gt;=0.4, "Neutral", "Sad"))</f>
        <v>Sad</v>
      </c>
      <c r="T45" s="8" t="str">
        <f>IF(Table13[[#This Row],[energy]]&gt;=0.7, "High Energy", IF(Table13[[#This Row],[energy]]&gt;=0.4, "Medium Energy", "Low Energy"))</f>
        <v>Low Energy</v>
      </c>
      <c r="U45" s="17" t="str">
        <f>IF(Table13[[#This Row],[popularity]]&gt;70, "Popular", IF(Table13[[#This Row],[popularity]]&lt;40, "Less Popular", "Mid"))</f>
        <v>Popular</v>
      </c>
    </row>
    <row r="46" spans="2:21" x14ac:dyDescent="0.3">
      <c r="B46" s="8" t="s">
        <v>36</v>
      </c>
      <c r="C46" s="8" t="s">
        <v>63</v>
      </c>
      <c r="D46" s="9">
        <v>45400</v>
      </c>
      <c r="E46" s="8">
        <v>13</v>
      </c>
      <c r="F46" s="8">
        <v>8.5416666666666655E-2</v>
      </c>
      <c r="G46" s="8">
        <v>0.48680555555555555</v>
      </c>
      <c r="H46" s="8">
        <v>0.52152777777777781</v>
      </c>
      <c r="I46" s="11">
        <v>0</v>
      </c>
      <c r="J46" s="11">
        <v>1.0416666666666666E-2</v>
      </c>
      <c r="K46" s="8" t="s">
        <v>37</v>
      </c>
      <c r="L46" s="8">
        <v>0.34861111111111115</v>
      </c>
      <c r="M46" s="10">
        <v>129994</v>
      </c>
      <c r="N46" s="11">
        <v>1.5277777777777777E-2</v>
      </c>
      <c r="O46" s="8">
        <v>88</v>
      </c>
      <c r="P46" s="8">
        <v>218004</v>
      </c>
      <c r="Q46" s="8">
        <f>YEAR(Table13[[#This Row],[release_date]])</f>
        <v>2024</v>
      </c>
      <c r="R46" s="8">
        <f>ROUND(Table13[[#This Row],[duration_ms]]/60000,2)</f>
        <v>3.63</v>
      </c>
      <c r="S46" s="8" t="str">
        <f>IF(Table13[[#This Row],[valence]]&gt;=0.6, "Happy", IF(Table13[[#This Row],[valence]]&gt;=0.4, "Neutral", "Sad"))</f>
        <v>Sad</v>
      </c>
      <c r="T46" s="8" t="str">
        <f>IF(Table13[[#This Row],[energy]]&gt;=0.7, "High Energy", IF(Table13[[#This Row],[energy]]&gt;=0.4, "Medium Energy", "Low Energy"))</f>
        <v>Medium Energy</v>
      </c>
      <c r="U46" s="17" t="str">
        <f>IF(Table13[[#This Row],[popularity]]&gt;70, "Popular", IF(Table13[[#This Row],[popularity]]&lt;40, "Less Popular", "Mid"))</f>
        <v>Popular</v>
      </c>
    </row>
    <row r="47" spans="2:21" x14ac:dyDescent="0.3">
      <c r="B47" s="8" t="s">
        <v>38</v>
      </c>
      <c r="C47" s="8" t="s">
        <v>63</v>
      </c>
      <c r="D47" s="9">
        <v>45400</v>
      </c>
      <c r="E47" s="8">
        <v>14</v>
      </c>
      <c r="F47" s="11">
        <v>3.6111111111111115E-2</v>
      </c>
      <c r="G47" s="8">
        <v>0.29583333333333334</v>
      </c>
      <c r="H47" s="11">
        <v>2.8472222222222222E-2</v>
      </c>
      <c r="I47" s="11">
        <v>0</v>
      </c>
      <c r="J47" s="8">
        <v>0.23472222222222225</v>
      </c>
      <c r="K47" s="10">
        <v>-9083</v>
      </c>
      <c r="L47" s="8">
        <v>0.40347222222222223</v>
      </c>
      <c r="M47" s="10">
        <v>142377</v>
      </c>
      <c r="N47" s="8">
        <v>0.18263888888888891</v>
      </c>
      <c r="O47" s="8">
        <v>74</v>
      </c>
      <c r="P47" s="8">
        <v>245541</v>
      </c>
      <c r="Q47" s="8">
        <f>YEAR(Table13[[#This Row],[release_date]])</f>
        <v>2024</v>
      </c>
      <c r="R47" s="8">
        <f>ROUND(Table13[[#This Row],[duration_ms]]/60000,2)</f>
        <v>4.09</v>
      </c>
      <c r="S47" s="8" t="str">
        <f>IF(Table13[[#This Row],[valence]]&gt;=0.6, "Happy", IF(Table13[[#This Row],[valence]]&gt;=0.4, "Neutral", "Sad"))</f>
        <v>Sad</v>
      </c>
      <c r="T47" s="8" t="str">
        <f>IF(Table13[[#This Row],[energy]]&gt;=0.7, "High Energy", IF(Table13[[#This Row],[energy]]&gt;=0.4, "Medium Energy", "Low Energy"))</f>
        <v>Low Energy</v>
      </c>
      <c r="U47" s="17" t="str">
        <f>IF(Table13[[#This Row],[popularity]]&gt;70, "Popular", IF(Table13[[#This Row],[popularity]]&lt;40, "Less Popular", "Mid"))</f>
        <v>Popular</v>
      </c>
    </row>
    <row r="48" spans="2:21" x14ac:dyDescent="0.3">
      <c r="B48" s="8" t="s">
        <v>39</v>
      </c>
      <c r="C48" s="8" t="s">
        <v>63</v>
      </c>
      <c r="D48" s="9">
        <v>45400</v>
      </c>
      <c r="E48" s="8">
        <v>15</v>
      </c>
      <c r="F48" s="8">
        <v>0.29305555555555557</v>
      </c>
      <c r="G48" s="8">
        <v>4.4444444444444446E-2</v>
      </c>
      <c r="H48" s="8">
        <v>0.29236111111111113</v>
      </c>
      <c r="I48" s="11">
        <v>0</v>
      </c>
      <c r="J48" s="8">
        <v>7.1527777777777773E-2</v>
      </c>
      <c r="K48" s="10">
        <v>-8802</v>
      </c>
      <c r="L48" s="8">
        <v>0.18958333333333333</v>
      </c>
      <c r="M48" s="10">
        <v>100056</v>
      </c>
      <c r="N48" s="8">
        <v>0.24513888888888891</v>
      </c>
      <c r="O48" s="8">
        <v>73</v>
      </c>
      <c r="P48" s="8">
        <v>196900</v>
      </c>
      <c r="Q48" s="8">
        <f>YEAR(Table13[[#This Row],[release_date]])</f>
        <v>2024</v>
      </c>
      <c r="R48" s="8">
        <f>ROUND(Table13[[#This Row],[duration_ms]]/60000,2)</f>
        <v>3.28</v>
      </c>
      <c r="S48" s="8" t="str">
        <f>IF(Table13[[#This Row],[valence]]&gt;=0.6, "Happy", IF(Table13[[#This Row],[valence]]&gt;=0.4, "Neutral", "Sad"))</f>
        <v>Sad</v>
      </c>
      <c r="T48" s="8" t="str">
        <f>IF(Table13[[#This Row],[energy]]&gt;=0.7, "High Energy", IF(Table13[[#This Row],[energy]]&gt;=0.4, "Medium Energy", "Low Energy"))</f>
        <v>Low Energy</v>
      </c>
      <c r="U48" s="17" t="str">
        <f>IF(Table13[[#This Row],[popularity]]&gt;70, "Popular", IF(Table13[[#This Row],[popularity]]&lt;40, "Less Popular", "Mid"))</f>
        <v>Popular</v>
      </c>
    </row>
    <row r="49" spans="2:21" x14ac:dyDescent="0.3">
      <c r="B49" s="8" t="s">
        <v>40</v>
      </c>
      <c r="C49" s="8" t="s">
        <v>63</v>
      </c>
      <c r="D49" s="9">
        <v>45400</v>
      </c>
      <c r="E49" s="8">
        <v>16</v>
      </c>
      <c r="F49" s="8">
        <v>0.44166666666666665</v>
      </c>
      <c r="G49" s="8">
        <v>0.47638888888888892</v>
      </c>
      <c r="H49" s="8">
        <v>0.22083333333333333</v>
      </c>
      <c r="I49" s="8" t="s">
        <v>41</v>
      </c>
      <c r="J49" s="8">
        <v>7.3611111111111113E-2</v>
      </c>
      <c r="K49" s="10">
        <v>-11046</v>
      </c>
      <c r="L49" s="8">
        <v>0.18263888888888891</v>
      </c>
      <c r="M49" s="10">
        <v>104088</v>
      </c>
      <c r="N49" s="8">
        <v>0.14861111111111111</v>
      </c>
      <c r="O49" s="8">
        <v>67</v>
      </c>
      <c r="P49" s="8">
        <v>216662</v>
      </c>
      <c r="Q49" s="8">
        <f>YEAR(Table13[[#This Row],[release_date]])</f>
        <v>2024</v>
      </c>
      <c r="R49" s="8">
        <f>ROUND(Table13[[#This Row],[duration_ms]]/60000,2)</f>
        <v>3.61</v>
      </c>
      <c r="S49" s="8" t="str">
        <f>IF(Table13[[#This Row],[valence]]&gt;=0.6, "Happy", IF(Table13[[#This Row],[valence]]&gt;=0.4, "Neutral", "Sad"))</f>
        <v>Sad</v>
      </c>
      <c r="T49" s="8" t="str">
        <f>IF(Table13[[#This Row],[energy]]&gt;=0.7, "High Energy", IF(Table13[[#This Row],[energy]]&gt;=0.4, "Medium Energy", "Low Energy"))</f>
        <v>Low Energy</v>
      </c>
      <c r="U49" s="17" t="str">
        <f>IF(Table13[[#This Row],[popularity]]&gt;70, "Popular", IF(Table13[[#This Row],[popularity]]&lt;40, "Less Popular", "Mid"))</f>
        <v>Mid</v>
      </c>
    </row>
    <row r="50" spans="2:21" x14ac:dyDescent="0.3">
      <c r="B50" s="8" t="s">
        <v>64</v>
      </c>
      <c r="C50" s="8" t="s">
        <v>65</v>
      </c>
      <c r="D50" s="9">
        <v>45226</v>
      </c>
      <c r="E50" s="8">
        <v>1</v>
      </c>
      <c r="F50" s="8" t="s">
        <v>66</v>
      </c>
      <c r="G50" s="8">
        <v>5.2777777777777778E-2</v>
      </c>
      <c r="H50" s="8">
        <v>0.41805555555555557</v>
      </c>
      <c r="I50" s="8" t="s">
        <v>67</v>
      </c>
      <c r="J50" s="8">
        <v>0.22569444444444445</v>
      </c>
      <c r="K50" s="10">
        <v>-4871</v>
      </c>
      <c r="L50" s="8">
        <v>0.21944444444444444</v>
      </c>
      <c r="M50" s="10">
        <v>116989</v>
      </c>
      <c r="N50" s="8">
        <v>0.47569444444444442</v>
      </c>
      <c r="O50" s="8">
        <v>62</v>
      </c>
      <c r="P50" s="8">
        <v>212600</v>
      </c>
      <c r="Q50" s="8">
        <f>YEAR(Table13[[#This Row],[release_date]])</f>
        <v>2023</v>
      </c>
      <c r="R50" s="8">
        <f>ROUND(Table13[[#This Row],[duration_ms]]/60000,2)</f>
        <v>3.54</v>
      </c>
      <c r="S50" s="8" t="str">
        <f>IF(Table13[[#This Row],[valence]]&gt;=0.6, "Happy", IF(Table13[[#This Row],[valence]]&gt;=0.4, "Neutral", "Sad"))</f>
        <v>Neutral</v>
      </c>
      <c r="T50" s="8" t="str">
        <f>IF(Table13[[#This Row],[energy]]&gt;=0.7, "High Energy", IF(Table13[[#This Row],[energy]]&gt;=0.4, "Medium Energy", "Low Energy"))</f>
        <v>Medium Energy</v>
      </c>
      <c r="U50" s="17" t="str">
        <f>IF(Table13[[#This Row],[popularity]]&gt;70, "Popular", IF(Table13[[#This Row],[popularity]]&lt;40, "Less Popular", "Mid"))</f>
        <v>Mid</v>
      </c>
    </row>
    <row r="51" spans="2:21" x14ac:dyDescent="0.3">
      <c r="B51" s="8" t="s">
        <v>68</v>
      </c>
      <c r="C51" s="8" t="s">
        <v>65</v>
      </c>
      <c r="D51" s="9">
        <v>45226</v>
      </c>
      <c r="E51" s="8">
        <v>2</v>
      </c>
      <c r="F51" s="8">
        <v>0.62569444444444444</v>
      </c>
      <c r="G51" s="8">
        <v>0.5083333333333333</v>
      </c>
      <c r="H51" s="8">
        <v>0.4993055555555555</v>
      </c>
      <c r="I51" s="11">
        <v>0</v>
      </c>
      <c r="J51" s="8">
        <v>0.2298611111111111</v>
      </c>
      <c r="K51" s="10">
        <v>-5469</v>
      </c>
      <c r="L51" s="8">
        <v>0.44791666666666669</v>
      </c>
      <c r="M51" s="10">
        <v>96035</v>
      </c>
      <c r="N51" s="8">
        <v>4.9305555555555554E-2</v>
      </c>
      <c r="O51" s="8">
        <v>64</v>
      </c>
      <c r="P51" s="8">
        <v>231833</v>
      </c>
      <c r="Q51" s="8">
        <f>YEAR(Table13[[#This Row],[release_date]])</f>
        <v>2023</v>
      </c>
      <c r="R51" s="8">
        <f>ROUND(Table13[[#This Row],[duration_ms]]/60000,2)</f>
        <v>3.86</v>
      </c>
      <c r="S51" s="8" t="str">
        <f>IF(Table13[[#This Row],[valence]]&gt;=0.6, "Happy", IF(Table13[[#This Row],[valence]]&gt;=0.4, "Neutral", "Sad"))</f>
        <v>Sad</v>
      </c>
      <c r="T51" s="8" t="str">
        <f>IF(Table13[[#This Row],[energy]]&gt;=0.7, "High Energy", IF(Table13[[#This Row],[energy]]&gt;=0.4, "Medium Energy", "Low Energy"))</f>
        <v>Medium Energy</v>
      </c>
      <c r="U51" s="17" t="str">
        <f>IF(Table13[[#This Row],[popularity]]&gt;70, "Popular", IF(Table13[[#This Row],[popularity]]&lt;40, "Less Popular", "Mid"))</f>
        <v>Mid</v>
      </c>
    </row>
    <row r="52" spans="2:21" x14ac:dyDescent="0.3">
      <c r="B52" s="8" t="s">
        <v>69</v>
      </c>
      <c r="C52" s="8" t="s">
        <v>65</v>
      </c>
      <c r="D52" s="9">
        <v>45226</v>
      </c>
      <c r="E52" s="8">
        <v>3</v>
      </c>
      <c r="F52" s="8" t="s">
        <v>70</v>
      </c>
      <c r="G52" s="8">
        <v>0.35694444444444445</v>
      </c>
      <c r="H52" s="8">
        <v>0.57013888888888886</v>
      </c>
      <c r="I52" s="8">
        <v>0.16111111111111112</v>
      </c>
      <c r="J52" s="8">
        <v>0.65694444444444444</v>
      </c>
      <c r="K52" s="10">
        <v>-4803</v>
      </c>
      <c r="L52" s="8">
        <v>0.30833333333333335</v>
      </c>
      <c r="M52" s="10">
        <v>94884</v>
      </c>
      <c r="N52" s="8">
        <v>0.20694444444444446</v>
      </c>
      <c r="O52" s="8">
        <v>65</v>
      </c>
      <c r="P52" s="8">
        <v>231000</v>
      </c>
      <c r="Q52" s="8">
        <f>YEAR(Table13[[#This Row],[release_date]])</f>
        <v>2023</v>
      </c>
      <c r="R52" s="8">
        <f>ROUND(Table13[[#This Row],[duration_ms]]/60000,2)</f>
        <v>3.85</v>
      </c>
      <c r="S52" s="8" t="str">
        <f>IF(Table13[[#This Row],[valence]]&gt;=0.6, "Happy", IF(Table13[[#This Row],[valence]]&gt;=0.4, "Neutral", "Sad"))</f>
        <v>Sad</v>
      </c>
      <c r="T52" s="8" t="str">
        <f>IF(Table13[[#This Row],[energy]]&gt;=0.7, "High Energy", IF(Table13[[#This Row],[energy]]&gt;=0.4, "Medium Energy", "Low Energy"))</f>
        <v>Medium Energy</v>
      </c>
      <c r="U52" s="17" t="str">
        <f>IF(Table13[[#This Row],[popularity]]&gt;70, "Popular", IF(Table13[[#This Row],[popularity]]&lt;40, "Less Popular", "Mid"))</f>
        <v>Mid</v>
      </c>
    </row>
    <row r="53" spans="2:21" x14ac:dyDescent="0.3">
      <c r="B53" s="8" t="s">
        <v>71</v>
      </c>
      <c r="C53" s="8" t="s">
        <v>65</v>
      </c>
      <c r="D53" s="9">
        <v>45226</v>
      </c>
      <c r="E53" s="8">
        <v>4</v>
      </c>
      <c r="F53" s="8" t="s">
        <v>72</v>
      </c>
      <c r="G53" s="8">
        <v>0.37777777777777777</v>
      </c>
      <c r="H53" s="8">
        <v>0.61388888888888882</v>
      </c>
      <c r="I53" s="8" t="s">
        <v>73</v>
      </c>
      <c r="J53" s="8">
        <v>0.26458333333333334</v>
      </c>
      <c r="K53" s="10">
        <v>-5973</v>
      </c>
      <c r="L53" s="8">
        <v>0.26597222222222222</v>
      </c>
      <c r="M53" s="10">
        <v>91981</v>
      </c>
      <c r="N53" s="8">
        <v>0.1277777777777778</v>
      </c>
      <c r="O53" s="8">
        <v>63</v>
      </c>
      <c r="P53" s="8">
        <v>235800</v>
      </c>
      <c r="Q53" s="8">
        <f>YEAR(Table13[[#This Row],[release_date]])</f>
        <v>2023</v>
      </c>
      <c r="R53" s="8">
        <f>ROUND(Table13[[#This Row],[duration_ms]]/60000,2)</f>
        <v>3.93</v>
      </c>
      <c r="S53" s="8" t="str">
        <f>IF(Table13[[#This Row],[valence]]&gt;=0.6, "Happy", IF(Table13[[#This Row],[valence]]&gt;=0.4, "Neutral", "Sad"))</f>
        <v>Sad</v>
      </c>
      <c r="T53" s="8" t="str">
        <f>IF(Table13[[#This Row],[energy]]&gt;=0.7, "High Energy", IF(Table13[[#This Row],[energy]]&gt;=0.4, "Medium Energy", "Low Energy"))</f>
        <v>Medium Energy</v>
      </c>
      <c r="U53" s="17" t="str">
        <f>IF(Table13[[#This Row],[popularity]]&gt;70, "Popular", IF(Table13[[#This Row],[popularity]]&lt;40, "Less Popular", "Mid"))</f>
        <v>Mid</v>
      </c>
    </row>
    <row r="54" spans="2:21" x14ac:dyDescent="0.3">
      <c r="B54" s="8" t="s">
        <v>74</v>
      </c>
      <c r="C54" s="8" t="s">
        <v>65</v>
      </c>
      <c r="D54" s="9">
        <v>45226</v>
      </c>
      <c r="E54" s="8">
        <v>5</v>
      </c>
      <c r="F54" s="8" t="s">
        <v>75</v>
      </c>
      <c r="G54" s="8">
        <v>0.40902777777777777</v>
      </c>
      <c r="H54" s="8">
        <v>0.49513888888888885</v>
      </c>
      <c r="I54" s="11">
        <v>0</v>
      </c>
      <c r="J54" s="8">
        <v>0.13055555555555556</v>
      </c>
      <c r="K54" s="10">
        <v>-5614</v>
      </c>
      <c r="L54" s="8">
        <v>0.21388888888888891</v>
      </c>
      <c r="M54" s="10">
        <v>97069</v>
      </c>
      <c r="N54" s="11">
        <v>3.7499999999999999E-2</v>
      </c>
      <c r="O54" s="8">
        <v>62</v>
      </c>
      <c r="P54" s="8">
        <v>193289</v>
      </c>
      <c r="Q54" s="8">
        <f>YEAR(Table13[[#This Row],[release_date]])</f>
        <v>2023</v>
      </c>
      <c r="R54" s="8">
        <f>ROUND(Table13[[#This Row],[duration_ms]]/60000,2)</f>
        <v>3.22</v>
      </c>
      <c r="S54" s="8" t="str">
        <f>IF(Table13[[#This Row],[valence]]&gt;=0.6, "Happy", IF(Table13[[#This Row],[valence]]&gt;=0.4, "Neutral", "Sad"))</f>
        <v>Sad</v>
      </c>
      <c r="T54" s="8" t="str">
        <f>IF(Table13[[#This Row],[energy]]&gt;=0.7, "High Energy", IF(Table13[[#This Row],[energy]]&gt;=0.4, "Medium Energy", "Low Energy"))</f>
        <v>Medium Energy</v>
      </c>
      <c r="U54" s="17" t="str">
        <f>IF(Table13[[#This Row],[popularity]]&gt;70, "Popular", IF(Table13[[#This Row],[popularity]]&lt;40, "Less Popular", "Mid"))</f>
        <v>Mid</v>
      </c>
    </row>
    <row r="55" spans="2:21" x14ac:dyDescent="0.3">
      <c r="B55" s="8" t="s">
        <v>76</v>
      </c>
      <c r="C55" s="8" t="s">
        <v>65</v>
      </c>
      <c r="D55" s="9">
        <v>45226</v>
      </c>
      <c r="E55" s="8">
        <v>6</v>
      </c>
      <c r="F55" s="8">
        <v>7.7777777777777779E-2</v>
      </c>
      <c r="G55" s="8">
        <v>0.43888888888888888</v>
      </c>
      <c r="H55" s="8">
        <v>0.55902777777777779</v>
      </c>
      <c r="I55" s="8" t="s">
        <v>77</v>
      </c>
      <c r="J55" s="8">
        <v>0.10833333333333334</v>
      </c>
      <c r="K55" s="10">
        <v>-5707</v>
      </c>
      <c r="L55" s="8" t="s">
        <v>78</v>
      </c>
      <c r="M55" s="10">
        <v>160052</v>
      </c>
      <c r="N55" s="8">
        <v>0.62708333333333333</v>
      </c>
      <c r="O55" s="8">
        <v>62</v>
      </c>
      <c r="P55" s="8">
        <v>219209</v>
      </c>
      <c r="Q55" s="8">
        <f>YEAR(Table13[[#This Row],[release_date]])</f>
        <v>2023</v>
      </c>
      <c r="R55" s="8">
        <f>ROUND(Table13[[#This Row],[duration_ms]]/60000,2)</f>
        <v>3.65</v>
      </c>
      <c r="S55" s="8" t="str">
        <f>IF(Table13[[#This Row],[valence]]&gt;=0.6, "Happy", IF(Table13[[#This Row],[valence]]&gt;=0.4, "Neutral", "Sad"))</f>
        <v>Happy</v>
      </c>
      <c r="T55" s="8" t="str">
        <f>IF(Table13[[#This Row],[energy]]&gt;=0.7, "High Energy", IF(Table13[[#This Row],[energy]]&gt;=0.4, "Medium Energy", "Low Energy"))</f>
        <v>Medium Energy</v>
      </c>
      <c r="U55" s="17" t="str">
        <f>IF(Table13[[#This Row],[popularity]]&gt;70, "Popular", IF(Table13[[#This Row],[popularity]]&lt;40, "Less Popular", "Mid"))</f>
        <v>Mid</v>
      </c>
    </row>
    <row r="56" spans="2:21" x14ac:dyDescent="0.3">
      <c r="B56" s="8" t="s">
        <v>79</v>
      </c>
      <c r="C56" s="8" t="s">
        <v>65</v>
      </c>
      <c r="D56" s="9">
        <v>45226</v>
      </c>
      <c r="E56" s="8">
        <v>7</v>
      </c>
      <c r="F56" s="8" t="s">
        <v>80</v>
      </c>
      <c r="G56" s="8">
        <v>0.46597222222222223</v>
      </c>
      <c r="H56" s="8">
        <v>0.59236111111111112</v>
      </c>
      <c r="I56" s="8" t="s">
        <v>81</v>
      </c>
      <c r="J56" s="8">
        <v>0.56388888888888888</v>
      </c>
      <c r="K56" s="10">
        <v>-6568</v>
      </c>
      <c r="L56" s="8">
        <v>0.28958333333333336</v>
      </c>
      <c r="M56" s="10">
        <v>118032</v>
      </c>
      <c r="N56" s="8">
        <v>0.36319444444444443</v>
      </c>
      <c r="O56" s="8">
        <v>61</v>
      </c>
      <c r="P56" s="8">
        <v>207650</v>
      </c>
      <c r="Q56" s="8">
        <f>YEAR(Table13[[#This Row],[release_date]])</f>
        <v>2023</v>
      </c>
      <c r="R56" s="8">
        <f>ROUND(Table13[[#This Row],[duration_ms]]/60000,2)</f>
        <v>3.46</v>
      </c>
      <c r="S56" s="8" t="str">
        <f>IF(Table13[[#This Row],[valence]]&gt;=0.6, "Happy", IF(Table13[[#This Row],[valence]]&gt;=0.4, "Neutral", "Sad"))</f>
        <v>Sad</v>
      </c>
      <c r="T56" s="8" t="str">
        <f>IF(Table13[[#This Row],[energy]]&gt;=0.7, "High Energy", IF(Table13[[#This Row],[energy]]&gt;=0.4, "Medium Energy", "Low Energy"))</f>
        <v>Medium Energy</v>
      </c>
      <c r="U56" s="17" t="str">
        <f>IF(Table13[[#This Row],[popularity]]&gt;70, "Popular", IF(Table13[[#This Row],[popularity]]&lt;40, "Less Popular", "Mid"))</f>
        <v>Mid</v>
      </c>
    </row>
    <row r="57" spans="2:21" x14ac:dyDescent="0.3">
      <c r="B57" s="8" t="s">
        <v>82</v>
      </c>
      <c r="C57" s="8" t="s">
        <v>65</v>
      </c>
      <c r="D57" s="9">
        <v>45226</v>
      </c>
      <c r="E57" s="8">
        <v>8</v>
      </c>
      <c r="F57" s="8">
        <v>0.25625000000000003</v>
      </c>
      <c r="G57" s="8">
        <v>0.43333333333333335</v>
      </c>
      <c r="H57" s="8">
        <v>0.49374999999999997</v>
      </c>
      <c r="I57" s="8" t="s">
        <v>83</v>
      </c>
      <c r="J57" s="11">
        <v>1.3194444444444444E-2</v>
      </c>
      <c r="K57" s="10">
        <v>-6347</v>
      </c>
      <c r="L57" s="8">
        <v>0.11041666666666666</v>
      </c>
      <c r="M57" s="10">
        <v>169999</v>
      </c>
      <c r="N57" s="8">
        <v>0.24097222222222223</v>
      </c>
      <c r="O57" s="8">
        <v>61</v>
      </c>
      <c r="P57" s="8">
        <v>211103</v>
      </c>
      <c r="Q57" s="8">
        <f>YEAR(Table13[[#This Row],[release_date]])</f>
        <v>2023</v>
      </c>
      <c r="R57" s="8">
        <f>ROUND(Table13[[#This Row],[duration_ms]]/60000,2)</f>
        <v>3.52</v>
      </c>
      <c r="S57" s="8" t="str">
        <f>IF(Table13[[#This Row],[valence]]&gt;=0.6, "Happy", IF(Table13[[#This Row],[valence]]&gt;=0.4, "Neutral", "Sad"))</f>
        <v>Sad</v>
      </c>
      <c r="T57" s="8" t="str">
        <f>IF(Table13[[#This Row],[energy]]&gt;=0.7, "High Energy", IF(Table13[[#This Row],[energy]]&gt;=0.4, "Medium Energy", "Low Energy"))</f>
        <v>Medium Energy</v>
      </c>
      <c r="U57" s="17" t="str">
        <f>IF(Table13[[#This Row],[popularity]]&gt;70, "Popular", IF(Table13[[#This Row],[popularity]]&lt;40, "Less Popular", "Mid"))</f>
        <v>Mid</v>
      </c>
    </row>
    <row r="58" spans="2:21" x14ac:dyDescent="0.3">
      <c r="B58" s="8" t="s">
        <v>84</v>
      </c>
      <c r="C58" s="8" t="s">
        <v>65</v>
      </c>
      <c r="D58" s="9">
        <v>45226</v>
      </c>
      <c r="E58" s="8">
        <v>9</v>
      </c>
      <c r="F58" s="8">
        <v>0.24166666666666667</v>
      </c>
      <c r="G58" s="8">
        <v>0.40763888888888888</v>
      </c>
      <c r="H58" s="8">
        <v>0.4604166666666667</v>
      </c>
      <c r="I58" s="8" t="s">
        <v>85</v>
      </c>
      <c r="J58" s="8">
        <v>0.6743055555555556</v>
      </c>
      <c r="K58" s="10">
        <v>-7439</v>
      </c>
      <c r="L58" s="8">
        <v>0.4152777777777778</v>
      </c>
      <c r="M58" s="10">
        <v>139993</v>
      </c>
      <c r="N58" s="8">
        <v>0.3743055555555555</v>
      </c>
      <c r="O58" s="8">
        <v>63</v>
      </c>
      <c r="P58" s="8">
        <v>220433</v>
      </c>
      <c r="Q58" s="8">
        <f>YEAR(Table13[[#This Row],[release_date]])</f>
        <v>2023</v>
      </c>
      <c r="R58" s="8">
        <f>ROUND(Table13[[#This Row],[duration_ms]]/60000,2)</f>
        <v>3.67</v>
      </c>
      <c r="S58" s="8" t="str">
        <f>IF(Table13[[#This Row],[valence]]&gt;=0.6, "Happy", IF(Table13[[#This Row],[valence]]&gt;=0.4, "Neutral", "Sad"))</f>
        <v>Sad</v>
      </c>
      <c r="T58" s="8" t="str">
        <f>IF(Table13[[#This Row],[energy]]&gt;=0.7, "High Energy", IF(Table13[[#This Row],[energy]]&gt;=0.4, "Medium Energy", "Low Energy"))</f>
        <v>Medium Energy</v>
      </c>
      <c r="U58" s="17" t="str">
        <f>IF(Table13[[#This Row],[popularity]]&gt;70, "Popular", IF(Table13[[#This Row],[popularity]]&lt;40, "Less Popular", "Mid"))</f>
        <v>Mid</v>
      </c>
    </row>
    <row r="59" spans="2:21" x14ac:dyDescent="0.3">
      <c r="B59" s="8" t="s">
        <v>86</v>
      </c>
      <c r="C59" s="8" t="s">
        <v>65</v>
      </c>
      <c r="D59" s="9">
        <v>45226</v>
      </c>
      <c r="E59" s="8">
        <v>10</v>
      </c>
      <c r="F59" s="8" t="s">
        <v>87</v>
      </c>
      <c r="G59" s="8">
        <v>0.52847222222222223</v>
      </c>
      <c r="H59" s="8">
        <v>4.6527777777777779E-2</v>
      </c>
      <c r="I59" s="8" t="s">
        <v>88</v>
      </c>
      <c r="J59" s="8">
        <v>0.60625000000000007</v>
      </c>
      <c r="K59" s="10">
        <v>-5956</v>
      </c>
      <c r="L59" s="8">
        <v>0.37291666666666662</v>
      </c>
      <c r="M59" s="10">
        <v>120014</v>
      </c>
      <c r="N59" s="8">
        <v>0.36041666666666666</v>
      </c>
      <c r="O59" s="8">
        <v>61</v>
      </c>
      <c r="P59" s="8">
        <v>247533</v>
      </c>
      <c r="Q59" s="8">
        <f>YEAR(Table13[[#This Row],[release_date]])</f>
        <v>2023</v>
      </c>
      <c r="R59" s="8">
        <f>ROUND(Table13[[#This Row],[duration_ms]]/60000,2)</f>
        <v>4.13</v>
      </c>
      <c r="S59" s="8" t="str">
        <f>IF(Table13[[#This Row],[valence]]&gt;=0.6, "Happy", IF(Table13[[#This Row],[valence]]&gt;=0.4, "Neutral", "Sad"))</f>
        <v>Sad</v>
      </c>
      <c r="T59" s="8" t="str">
        <f>IF(Table13[[#This Row],[energy]]&gt;=0.7, "High Energy", IF(Table13[[#This Row],[energy]]&gt;=0.4, "Medium Energy", "Low Energy"))</f>
        <v>Low Energy</v>
      </c>
      <c r="U59" s="17" t="str">
        <f>IF(Table13[[#This Row],[popularity]]&gt;70, "Popular", IF(Table13[[#This Row],[popularity]]&lt;40, "Less Popular", "Mid"))</f>
        <v>Mid</v>
      </c>
    </row>
    <row r="60" spans="2:21" x14ac:dyDescent="0.3">
      <c r="B60" s="8" t="s">
        <v>89</v>
      </c>
      <c r="C60" s="8" t="s">
        <v>65</v>
      </c>
      <c r="D60" s="9">
        <v>45226</v>
      </c>
      <c r="E60" s="8">
        <v>11</v>
      </c>
      <c r="F60" s="8">
        <v>0.20972222222222223</v>
      </c>
      <c r="G60" s="11">
        <v>3.2638888888888891E-2</v>
      </c>
      <c r="H60" s="8">
        <v>0.3430555555555555</v>
      </c>
      <c r="I60" s="11">
        <v>0</v>
      </c>
      <c r="J60" s="8">
        <v>0.46666666666666662</v>
      </c>
      <c r="K60" s="10">
        <v>-8672</v>
      </c>
      <c r="L60" s="8">
        <v>0.24236111111111111</v>
      </c>
      <c r="M60" s="10">
        <v>144039</v>
      </c>
      <c r="N60" s="8">
        <v>0.36388888888888887</v>
      </c>
      <c r="O60" s="8">
        <v>60</v>
      </c>
      <c r="P60" s="8">
        <v>250100</v>
      </c>
      <c r="Q60" s="8">
        <f>YEAR(Table13[[#This Row],[release_date]])</f>
        <v>2023</v>
      </c>
      <c r="R60" s="8">
        <f>ROUND(Table13[[#This Row],[duration_ms]]/60000,2)</f>
        <v>4.17</v>
      </c>
      <c r="S60" s="8" t="str">
        <f>IF(Table13[[#This Row],[valence]]&gt;=0.6, "Happy", IF(Table13[[#This Row],[valence]]&gt;=0.4, "Neutral", "Sad"))</f>
        <v>Sad</v>
      </c>
      <c r="T60" s="8" t="str">
        <f>IF(Table13[[#This Row],[energy]]&gt;=0.7, "High Energy", IF(Table13[[#This Row],[energy]]&gt;=0.4, "Medium Energy", "Low Energy"))</f>
        <v>Low Energy</v>
      </c>
      <c r="U60" s="17" t="str">
        <f>IF(Table13[[#This Row],[popularity]]&gt;70, "Popular", IF(Table13[[#This Row],[popularity]]&lt;40, "Less Popular", "Mid"))</f>
        <v>Mid</v>
      </c>
    </row>
    <row r="61" spans="2:21" x14ac:dyDescent="0.3">
      <c r="B61" s="8" t="s">
        <v>90</v>
      </c>
      <c r="C61" s="8" t="s">
        <v>65</v>
      </c>
      <c r="D61" s="9">
        <v>45226</v>
      </c>
      <c r="E61" s="8">
        <v>12</v>
      </c>
      <c r="F61" s="8">
        <v>0.58750000000000002</v>
      </c>
      <c r="G61" s="8">
        <v>0.3972222222222222</v>
      </c>
      <c r="H61" s="8">
        <v>0.56041666666666667</v>
      </c>
      <c r="I61" s="11">
        <v>0</v>
      </c>
      <c r="J61" s="8" t="s">
        <v>91</v>
      </c>
      <c r="K61" s="10">
        <v>-5348</v>
      </c>
      <c r="L61" s="8">
        <v>0.39861111111111108</v>
      </c>
      <c r="M61" s="10">
        <v>160015</v>
      </c>
      <c r="N61" s="8">
        <v>0.43472222222222223</v>
      </c>
      <c r="O61" s="8">
        <v>61</v>
      </c>
      <c r="P61" s="8">
        <v>195700</v>
      </c>
      <c r="Q61" s="8">
        <f>YEAR(Table13[[#This Row],[release_date]])</f>
        <v>2023</v>
      </c>
      <c r="R61" s="8">
        <f>ROUND(Table13[[#This Row],[duration_ms]]/60000,2)</f>
        <v>3.26</v>
      </c>
      <c r="S61" s="8" t="str">
        <f>IF(Table13[[#This Row],[valence]]&gt;=0.6, "Happy", IF(Table13[[#This Row],[valence]]&gt;=0.4, "Neutral", "Sad"))</f>
        <v>Neutral</v>
      </c>
      <c r="T61" s="8" t="str">
        <f>IF(Table13[[#This Row],[energy]]&gt;=0.7, "High Energy", IF(Table13[[#This Row],[energy]]&gt;=0.4, "Medium Energy", "Low Energy"))</f>
        <v>Medium Energy</v>
      </c>
      <c r="U61" s="17" t="str">
        <f>IF(Table13[[#This Row],[popularity]]&gt;70, "Popular", IF(Table13[[#This Row],[popularity]]&lt;40, "Less Popular", "Mid"))</f>
        <v>Mid</v>
      </c>
    </row>
    <row r="62" spans="2:21" x14ac:dyDescent="0.3">
      <c r="B62" s="8" t="s">
        <v>92</v>
      </c>
      <c r="C62" s="8" t="s">
        <v>65</v>
      </c>
      <c r="D62" s="9">
        <v>45226</v>
      </c>
      <c r="E62" s="8">
        <v>13</v>
      </c>
      <c r="F62" s="8">
        <v>0.20625000000000002</v>
      </c>
      <c r="G62" s="8">
        <v>0.54305555555555551</v>
      </c>
      <c r="H62" s="8">
        <v>0.26319444444444445</v>
      </c>
      <c r="I62" s="8" t="s">
        <v>93</v>
      </c>
      <c r="J62" s="8">
        <v>7.1527777777777773E-2</v>
      </c>
      <c r="K62" s="10">
        <v>-8964</v>
      </c>
      <c r="L62" s="8">
        <v>0.21041666666666667</v>
      </c>
      <c r="M62" s="8" t="s">
        <v>94</v>
      </c>
      <c r="N62" s="8">
        <v>0.18541666666666667</v>
      </c>
      <c r="O62" s="8">
        <v>62</v>
      </c>
      <c r="P62" s="8">
        <v>271000</v>
      </c>
      <c r="Q62" s="8">
        <f>YEAR(Table13[[#This Row],[release_date]])</f>
        <v>2023</v>
      </c>
      <c r="R62" s="8">
        <f>ROUND(Table13[[#This Row],[duration_ms]]/60000,2)</f>
        <v>4.5199999999999996</v>
      </c>
      <c r="S62" s="8" t="str">
        <f>IF(Table13[[#This Row],[valence]]&gt;=0.6, "Happy", IF(Table13[[#This Row],[valence]]&gt;=0.4, "Neutral", "Sad"))</f>
        <v>Sad</v>
      </c>
      <c r="T62" s="8" t="str">
        <f>IF(Table13[[#This Row],[energy]]&gt;=0.7, "High Energy", IF(Table13[[#This Row],[energy]]&gt;=0.4, "Medium Energy", "Low Energy"))</f>
        <v>Low Energy</v>
      </c>
      <c r="U62" s="17" t="str">
        <f>IF(Table13[[#This Row],[popularity]]&gt;70, "Popular", IF(Table13[[#This Row],[popularity]]&lt;40, "Less Popular", "Mid"))</f>
        <v>Mid</v>
      </c>
    </row>
    <row r="63" spans="2:21" x14ac:dyDescent="0.3">
      <c r="B63" s="8" t="s">
        <v>95</v>
      </c>
      <c r="C63" s="8" t="s">
        <v>65</v>
      </c>
      <c r="D63" s="9">
        <v>45226</v>
      </c>
      <c r="E63" s="8">
        <v>14</v>
      </c>
      <c r="F63" s="8">
        <v>7.2916666666666671E-2</v>
      </c>
      <c r="G63" s="8">
        <v>0.26874999999999999</v>
      </c>
      <c r="H63" s="8">
        <v>0.48819444444444443</v>
      </c>
      <c r="I63" s="8" t="s">
        <v>96</v>
      </c>
      <c r="J63" s="8">
        <v>8.8888888888888892E-2</v>
      </c>
      <c r="K63" s="10">
        <v>-5956</v>
      </c>
      <c r="L63" s="8">
        <v>0.37847222222222227</v>
      </c>
      <c r="M63" s="14">
        <v>5.1375000000000002</v>
      </c>
      <c r="N63" s="11">
        <v>2.2222222222222223E-2</v>
      </c>
      <c r="O63" s="8">
        <v>61</v>
      </c>
      <c r="P63" s="8">
        <v>245566</v>
      </c>
      <c r="Q63" s="8">
        <f>YEAR(Table13[[#This Row],[release_date]])</f>
        <v>2023</v>
      </c>
      <c r="R63" s="8">
        <f>ROUND(Table13[[#This Row],[duration_ms]]/60000,2)</f>
        <v>4.09</v>
      </c>
      <c r="S63" s="8" t="str">
        <f>IF(Table13[[#This Row],[valence]]&gt;=0.6, "Happy", IF(Table13[[#This Row],[valence]]&gt;=0.4, "Neutral", "Sad"))</f>
        <v>Sad</v>
      </c>
      <c r="T63" s="8" t="str">
        <f>IF(Table13[[#This Row],[energy]]&gt;=0.7, "High Energy", IF(Table13[[#This Row],[energy]]&gt;=0.4, "Medium Energy", "Low Energy"))</f>
        <v>Medium Energy</v>
      </c>
      <c r="U63" s="17" t="str">
        <f>IF(Table13[[#This Row],[popularity]]&gt;70, "Popular", IF(Table13[[#This Row],[popularity]]&lt;40, "Less Popular", "Mid"))</f>
        <v>Mid</v>
      </c>
    </row>
    <row r="64" spans="2:21" x14ac:dyDescent="0.3">
      <c r="B64" s="8" t="s">
        <v>97</v>
      </c>
      <c r="C64" s="8" t="s">
        <v>65</v>
      </c>
      <c r="D64" s="9">
        <v>45226</v>
      </c>
      <c r="E64" s="8">
        <v>15</v>
      </c>
      <c r="F64" s="8">
        <v>0.3972222222222222</v>
      </c>
      <c r="G64" s="8">
        <v>0.38472222222222219</v>
      </c>
      <c r="H64" s="8">
        <v>0.35347222222222219</v>
      </c>
      <c r="I64" s="8" t="s">
        <v>98</v>
      </c>
      <c r="J64" s="8">
        <v>7.8472222222222221E-2</v>
      </c>
      <c r="K64" s="10">
        <v>-9403</v>
      </c>
      <c r="L64" s="8">
        <v>0.31597222222222221</v>
      </c>
      <c r="M64" s="10">
        <v>85079</v>
      </c>
      <c r="N64" s="8">
        <v>0.27847222222222223</v>
      </c>
      <c r="O64" s="8">
        <v>62</v>
      </c>
      <c r="P64" s="8">
        <v>267389</v>
      </c>
      <c r="Q64" s="8">
        <f>YEAR(Table13[[#This Row],[release_date]])</f>
        <v>2023</v>
      </c>
      <c r="R64" s="8">
        <f>ROUND(Table13[[#This Row],[duration_ms]]/60000,2)</f>
        <v>4.46</v>
      </c>
      <c r="S64" s="8" t="str">
        <f>IF(Table13[[#This Row],[valence]]&gt;=0.6, "Happy", IF(Table13[[#This Row],[valence]]&gt;=0.4, "Neutral", "Sad"))</f>
        <v>Sad</v>
      </c>
      <c r="T64" s="8" t="str">
        <f>IF(Table13[[#This Row],[energy]]&gt;=0.7, "High Energy", IF(Table13[[#This Row],[energy]]&gt;=0.4, "Medium Energy", "Low Energy"))</f>
        <v>Low Energy</v>
      </c>
      <c r="U64" s="17" t="str">
        <f>IF(Table13[[#This Row],[popularity]]&gt;70, "Popular", IF(Table13[[#This Row],[popularity]]&lt;40, "Less Popular", "Mid"))</f>
        <v>Mid</v>
      </c>
    </row>
    <row r="65" spans="2:21" x14ac:dyDescent="0.3">
      <c r="B65" s="8" t="s">
        <v>99</v>
      </c>
      <c r="C65" s="8" t="s">
        <v>65</v>
      </c>
      <c r="D65" s="9">
        <v>45226</v>
      </c>
      <c r="E65" s="8">
        <v>16</v>
      </c>
      <c r="F65" s="8" t="s">
        <v>100</v>
      </c>
      <c r="G65" s="8">
        <v>0.45347222222222222</v>
      </c>
      <c r="H65" s="8">
        <v>0.58888888888888891</v>
      </c>
      <c r="I65" s="8" t="s">
        <v>101</v>
      </c>
      <c r="J65" s="8">
        <v>0.5541666666666667</v>
      </c>
      <c r="K65" s="10">
        <v>-5936</v>
      </c>
      <c r="L65" s="8">
        <v>0.40486111111111112</v>
      </c>
      <c r="M65" s="10">
        <v>122017</v>
      </c>
      <c r="N65" s="8">
        <v>0.50277777777777777</v>
      </c>
      <c r="O65" s="8">
        <v>63</v>
      </c>
      <c r="P65" s="8">
        <v>230177</v>
      </c>
      <c r="Q65" s="8">
        <f>YEAR(Table13[[#This Row],[release_date]])</f>
        <v>2023</v>
      </c>
      <c r="R65" s="8">
        <f>ROUND(Table13[[#This Row],[duration_ms]]/60000,2)</f>
        <v>3.84</v>
      </c>
      <c r="S65" s="8" t="str">
        <f>IF(Table13[[#This Row],[valence]]&gt;=0.6, "Happy", IF(Table13[[#This Row],[valence]]&gt;=0.4, "Neutral", "Sad"))</f>
        <v>Neutral</v>
      </c>
      <c r="T65" s="8" t="str">
        <f>IF(Table13[[#This Row],[energy]]&gt;=0.7, "High Energy", IF(Table13[[#This Row],[energy]]&gt;=0.4, "Medium Energy", "Low Energy"))</f>
        <v>Medium Energy</v>
      </c>
      <c r="U65" s="17" t="str">
        <f>IF(Table13[[#This Row],[popularity]]&gt;70, "Popular", IF(Table13[[#This Row],[popularity]]&lt;40, "Less Popular", "Mid"))</f>
        <v>Mid</v>
      </c>
    </row>
    <row r="66" spans="2:21" x14ac:dyDescent="0.3">
      <c r="B66" s="8" t="s">
        <v>102</v>
      </c>
      <c r="C66" s="8" t="s">
        <v>65</v>
      </c>
      <c r="D66" s="9">
        <v>45226</v>
      </c>
      <c r="E66" s="8">
        <v>17</v>
      </c>
      <c r="F66" s="11">
        <v>2.2916666666666669E-2</v>
      </c>
      <c r="G66" s="8">
        <v>0.43124999999999997</v>
      </c>
      <c r="H66" s="8">
        <v>0.28819444444444448</v>
      </c>
      <c r="I66" s="8" t="s">
        <v>103</v>
      </c>
      <c r="J66" s="8">
        <v>0.44027777777777777</v>
      </c>
      <c r="K66" s="10">
        <v>-13187</v>
      </c>
      <c r="L66" s="8">
        <v>0.37708333333333338</v>
      </c>
      <c r="M66" s="10">
        <v>77978</v>
      </c>
      <c r="N66" s="8">
        <v>0.21736111111111112</v>
      </c>
      <c r="O66" s="8">
        <v>64</v>
      </c>
      <c r="P66" s="8">
        <v>180381</v>
      </c>
      <c r="Q66" s="8">
        <f>YEAR(Table13[[#This Row],[release_date]])</f>
        <v>2023</v>
      </c>
      <c r="R66" s="8">
        <f>ROUND(Table13[[#This Row],[duration_ms]]/60000,2)</f>
        <v>3.01</v>
      </c>
      <c r="S66" s="8" t="str">
        <f>IF(Table13[[#This Row],[valence]]&gt;=0.6, "Happy", IF(Table13[[#This Row],[valence]]&gt;=0.4, "Neutral", "Sad"))</f>
        <v>Sad</v>
      </c>
      <c r="T66" s="8" t="str">
        <f>IF(Table13[[#This Row],[energy]]&gt;=0.7, "High Energy", IF(Table13[[#This Row],[energy]]&gt;=0.4, "Medium Energy", "Low Energy"))</f>
        <v>Low Energy</v>
      </c>
      <c r="U66" s="17" t="str">
        <f>IF(Table13[[#This Row],[popularity]]&gt;70, "Popular", IF(Table13[[#This Row],[popularity]]&lt;40, "Less Popular", "Mid"))</f>
        <v>Mid</v>
      </c>
    </row>
    <row r="67" spans="2:21" x14ac:dyDescent="0.3">
      <c r="B67" s="8" t="s">
        <v>104</v>
      </c>
      <c r="C67" s="8" t="s">
        <v>65</v>
      </c>
      <c r="D67" s="9">
        <v>45226</v>
      </c>
      <c r="E67" s="8">
        <v>18</v>
      </c>
      <c r="F67" s="8">
        <v>0.47500000000000003</v>
      </c>
      <c r="G67" s="8">
        <v>0.43888888888888888</v>
      </c>
      <c r="H67" s="8">
        <v>0.3743055555555555</v>
      </c>
      <c r="I67" s="8" t="s">
        <v>105</v>
      </c>
      <c r="J67" s="8">
        <v>9.1666666666666674E-2</v>
      </c>
      <c r="K67" s="10">
        <v>-8375</v>
      </c>
      <c r="L67" s="8">
        <v>0.23750000000000002</v>
      </c>
      <c r="M67" s="10">
        <v>109962</v>
      </c>
      <c r="N67" s="8">
        <v>0.12916666666666668</v>
      </c>
      <c r="O67" s="8">
        <v>63</v>
      </c>
      <c r="P67" s="8">
        <v>279833</v>
      </c>
      <c r="Q67" s="8">
        <f>YEAR(Table13[[#This Row],[release_date]])</f>
        <v>2023</v>
      </c>
      <c r="R67" s="8">
        <f>ROUND(Table13[[#This Row],[duration_ms]]/60000,2)</f>
        <v>4.66</v>
      </c>
      <c r="S67" s="8" t="str">
        <f>IF(Table13[[#This Row],[valence]]&gt;=0.6, "Happy", IF(Table13[[#This Row],[valence]]&gt;=0.4, "Neutral", "Sad"))</f>
        <v>Sad</v>
      </c>
      <c r="T67" s="8" t="str">
        <f>IF(Table13[[#This Row],[energy]]&gt;=0.7, "High Energy", IF(Table13[[#This Row],[energy]]&gt;=0.4, "Medium Energy", "Low Energy"))</f>
        <v>Low Energy</v>
      </c>
      <c r="U67" s="17" t="str">
        <f>IF(Table13[[#This Row],[popularity]]&gt;70, "Popular", IF(Table13[[#This Row],[popularity]]&lt;40, "Less Popular", "Mid"))</f>
        <v>Mid</v>
      </c>
    </row>
    <row r="68" spans="2:21" x14ac:dyDescent="0.3">
      <c r="B68" s="8" t="s">
        <v>106</v>
      </c>
      <c r="C68" s="8" t="s">
        <v>65</v>
      </c>
      <c r="D68" s="9">
        <v>45226</v>
      </c>
      <c r="E68" s="8">
        <v>19</v>
      </c>
      <c r="F68" s="11">
        <v>1.1111111111111112E-2</v>
      </c>
      <c r="G68" s="11">
        <v>5.5555555555555558E-3</v>
      </c>
      <c r="H68" s="8">
        <v>0.35347222222222219</v>
      </c>
      <c r="I68" s="8" t="s">
        <v>107</v>
      </c>
      <c r="J68" s="8">
        <v>0.57916666666666672</v>
      </c>
      <c r="K68" s="10">
        <v>-9386</v>
      </c>
      <c r="L68" s="8" t="s">
        <v>108</v>
      </c>
      <c r="M68" s="10">
        <v>109994</v>
      </c>
      <c r="N68" s="8">
        <v>0.53333333333333333</v>
      </c>
      <c r="O68" s="8">
        <v>65</v>
      </c>
      <c r="P68" s="8">
        <v>146436</v>
      </c>
      <c r="Q68" s="8">
        <f>YEAR(Table13[[#This Row],[release_date]])</f>
        <v>2023</v>
      </c>
      <c r="R68" s="8">
        <f>ROUND(Table13[[#This Row],[duration_ms]]/60000,2)</f>
        <v>2.44</v>
      </c>
      <c r="S68" s="8" t="str">
        <f>IF(Table13[[#This Row],[valence]]&gt;=0.6, "Happy", IF(Table13[[#This Row],[valence]]&gt;=0.4, "Neutral", "Sad"))</f>
        <v>Neutral</v>
      </c>
      <c r="T68" s="8" t="str">
        <f>IF(Table13[[#This Row],[energy]]&gt;=0.7, "High Energy", IF(Table13[[#This Row],[energy]]&gt;=0.4, "Medium Energy", "Low Energy"))</f>
        <v>Low Energy</v>
      </c>
      <c r="U68" s="17" t="str">
        <f>IF(Table13[[#This Row],[popularity]]&gt;70, "Popular", IF(Table13[[#This Row],[popularity]]&lt;40, "Less Popular", "Mid"))</f>
        <v>Mid</v>
      </c>
    </row>
    <row r="69" spans="2:21" x14ac:dyDescent="0.3">
      <c r="B69" s="8" t="s">
        <v>109</v>
      </c>
      <c r="C69" s="8" t="s">
        <v>65</v>
      </c>
      <c r="D69" s="9">
        <v>45226</v>
      </c>
      <c r="E69" s="8">
        <v>20</v>
      </c>
      <c r="F69" s="8">
        <v>0.14722222222222223</v>
      </c>
      <c r="G69" s="8">
        <v>0.4826388888888889</v>
      </c>
      <c r="H69" s="8">
        <v>0.42152777777777778</v>
      </c>
      <c r="I69" s="11">
        <v>0</v>
      </c>
      <c r="J69" s="8">
        <v>7.0833333333333331E-2</v>
      </c>
      <c r="K69" s="8" t="s">
        <v>110</v>
      </c>
      <c r="L69" s="8">
        <v>0.24791666666666667</v>
      </c>
      <c r="M69" s="10">
        <v>118043</v>
      </c>
      <c r="N69" s="8">
        <v>0.27361111111111108</v>
      </c>
      <c r="O69" s="8">
        <v>61</v>
      </c>
      <c r="P69" s="8">
        <v>171818</v>
      </c>
      <c r="Q69" s="8">
        <f>YEAR(Table13[[#This Row],[release_date]])</f>
        <v>2023</v>
      </c>
      <c r="R69" s="8">
        <f>ROUND(Table13[[#This Row],[duration_ms]]/60000,2)</f>
        <v>2.86</v>
      </c>
      <c r="S69" s="8" t="str">
        <f>IF(Table13[[#This Row],[valence]]&gt;=0.6, "Happy", IF(Table13[[#This Row],[valence]]&gt;=0.4, "Neutral", "Sad"))</f>
        <v>Sad</v>
      </c>
      <c r="T69" s="8" t="str">
        <f>IF(Table13[[#This Row],[energy]]&gt;=0.7, "High Energy", IF(Table13[[#This Row],[energy]]&gt;=0.4, "Medium Energy", "Low Energy"))</f>
        <v>Medium Energy</v>
      </c>
      <c r="U69" s="17" t="str">
        <f>IF(Table13[[#This Row],[popularity]]&gt;70, "Popular", IF(Table13[[#This Row],[popularity]]&lt;40, "Less Popular", "Mid"))</f>
        <v>Mid</v>
      </c>
    </row>
    <row r="70" spans="2:21" x14ac:dyDescent="0.3">
      <c r="B70" s="8" t="s">
        <v>111</v>
      </c>
      <c r="C70" s="8" t="s">
        <v>65</v>
      </c>
      <c r="D70" s="9">
        <v>45226</v>
      </c>
      <c r="E70" s="8">
        <v>21</v>
      </c>
      <c r="F70" s="8">
        <v>0.33749999999999997</v>
      </c>
      <c r="G70" s="8">
        <v>0.41597222222222219</v>
      </c>
      <c r="H70" s="8">
        <v>0.45208333333333334</v>
      </c>
      <c r="I70" s="11">
        <v>0</v>
      </c>
      <c r="J70" s="8">
        <v>8.7500000000000008E-2</v>
      </c>
      <c r="K70" s="10">
        <v>-7343</v>
      </c>
      <c r="L70" s="8" t="s">
        <v>112</v>
      </c>
      <c r="M70" s="10">
        <v>100001</v>
      </c>
      <c r="N70" s="8">
        <v>0.10625</v>
      </c>
      <c r="O70" s="8">
        <v>66</v>
      </c>
      <c r="P70" s="8">
        <v>229477</v>
      </c>
      <c r="Q70" s="8">
        <f>YEAR(Table13[[#This Row],[release_date]])</f>
        <v>2023</v>
      </c>
      <c r="R70" s="8">
        <f>ROUND(Table13[[#This Row],[duration_ms]]/60000,2)</f>
        <v>3.82</v>
      </c>
      <c r="S70" s="8" t="str">
        <f>IF(Table13[[#This Row],[valence]]&gt;=0.6, "Happy", IF(Table13[[#This Row],[valence]]&gt;=0.4, "Neutral", "Sad"))</f>
        <v>Sad</v>
      </c>
      <c r="T70" s="8" t="str">
        <f>IF(Table13[[#This Row],[energy]]&gt;=0.7, "High Energy", IF(Table13[[#This Row],[energy]]&gt;=0.4, "Medium Energy", "Low Energy"))</f>
        <v>Medium Energy</v>
      </c>
      <c r="U70" s="17" t="str">
        <f>IF(Table13[[#This Row],[popularity]]&gt;70, "Popular", IF(Table13[[#This Row],[popularity]]&lt;40, "Less Popular", "Mid"))</f>
        <v>Mid</v>
      </c>
    </row>
    <row r="71" spans="2:21" x14ac:dyDescent="0.3">
      <c r="B71" s="8" t="s">
        <v>113</v>
      </c>
      <c r="C71" s="8" t="s">
        <v>65</v>
      </c>
      <c r="D71" s="9">
        <v>45226</v>
      </c>
      <c r="E71" s="8">
        <v>22</v>
      </c>
      <c r="F71" s="8">
        <v>9.930555555555555E-2</v>
      </c>
      <c r="G71" s="8">
        <v>0.41944444444444445</v>
      </c>
      <c r="H71" s="8">
        <v>0.44722222222222219</v>
      </c>
      <c r="I71" s="11">
        <v>0</v>
      </c>
      <c r="J71" s="8">
        <v>0.16458333333333333</v>
      </c>
      <c r="K71" s="10">
        <v>-6931</v>
      </c>
      <c r="L71" s="8">
        <v>0.61736111111111114</v>
      </c>
      <c r="M71" s="10">
        <v>170088</v>
      </c>
      <c r="N71" s="8">
        <v>0.13680555555555554</v>
      </c>
      <c r="O71" s="8">
        <v>74</v>
      </c>
      <c r="P71" s="8">
        <v>199773</v>
      </c>
      <c r="Q71" s="8">
        <f>YEAR(Table13[[#This Row],[release_date]])</f>
        <v>2023</v>
      </c>
      <c r="R71" s="8">
        <f>ROUND(Table13[[#This Row],[duration_ms]]/60000,2)</f>
        <v>3.33</v>
      </c>
      <c r="S71" s="8" t="str">
        <f>IF(Table13[[#This Row],[valence]]&gt;=0.6, "Happy", IF(Table13[[#This Row],[valence]]&gt;=0.4, "Neutral", "Sad"))</f>
        <v>Sad</v>
      </c>
      <c r="T71" s="8" t="str">
        <f>IF(Table13[[#This Row],[energy]]&gt;=0.7, "High Energy", IF(Table13[[#This Row],[energy]]&gt;=0.4, "Medium Energy", "Low Energy"))</f>
        <v>Medium Energy</v>
      </c>
      <c r="U71" s="17" t="str">
        <f>IF(Table13[[#This Row],[popularity]]&gt;70, "Popular", IF(Table13[[#This Row],[popularity]]&lt;40, "Less Popular", "Mid"))</f>
        <v>Popular</v>
      </c>
    </row>
    <row r="72" spans="2:21" x14ac:dyDescent="0.3">
      <c r="B72" s="8" t="s">
        <v>64</v>
      </c>
      <c r="C72" s="8" t="s">
        <v>114</v>
      </c>
      <c r="D72" s="9">
        <v>45225</v>
      </c>
      <c r="E72" s="8">
        <v>1</v>
      </c>
      <c r="F72" s="8" t="s">
        <v>66</v>
      </c>
      <c r="G72" s="8">
        <v>5.2777777777777778E-2</v>
      </c>
      <c r="H72" s="8">
        <v>0.41805555555555557</v>
      </c>
      <c r="I72" s="8" t="s">
        <v>67</v>
      </c>
      <c r="J72" s="8">
        <v>0.22569444444444445</v>
      </c>
      <c r="K72" s="10">
        <v>-4871</v>
      </c>
      <c r="L72" s="8">
        <v>0.21944444444444444</v>
      </c>
      <c r="M72" s="10">
        <v>116989</v>
      </c>
      <c r="N72" s="8">
        <v>0.47569444444444442</v>
      </c>
      <c r="O72" s="8">
        <v>71</v>
      </c>
      <c r="P72" s="8">
        <v>212600</v>
      </c>
      <c r="Q72" s="8">
        <f>YEAR(Table13[[#This Row],[release_date]])</f>
        <v>2023</v>
      </c>
      <c r="R72" s="8">
        <f>ROUND(Table13[[#This Row],[duration_ms]]/60000,2)</f>
        <v>3.54</v>
      </c>
      <c r="S72" s="8" t="str">
        <f>IF(Table13[[#This Row],[valence]]&gt;=0.6, "Happy", IF(Table13[[#This Row],[valence]]&gt;=0.4, "Neutral", "Sad"))</f>
        <v>Neutral</v>
      </c>
      <c r="T72" s="8" t="str">
        <f>IF(Table13[[#This Row],[energy]]&gt;=0.7, "High Energy", IF(Table13[[#This Row],[energy]]&gt;=0.4, "Medium Energy", "Low Energy"))</f>
        <v>Medium Energy</v>
      </c>
      <c r="U72" s="17" t="str">
        <f>IF(Table13[[#This Row],[popularity]]&gt;70, "Popular", IF(Table13[[#This Row],[popularity]]&lt;40, "Less Popular", "Mid"))</f>
        <v>Popular</v>
      </c>
    </row>
    <row r="73" spans="2:21" x14ac:dyDescent="0.3">
      <c r="B73" s="8" t="s">
        <v>68</v>
      </c>
      <c r="C73" s="8" t="s">
        <v>114</v>
      </c>
      <c r="D73" s="9">
        <v>45225</v>
      </c>
      <c r="E73" s="8">
        <v>2</v>
      </c>
      <c r="F73" s="8">
        <v>0.62569444444444444</v>
      </c>
      <c r="G73" s="8">
        <v>0.5083333333333333</v>
      </c>
      <c r="H73" s="8">
        <v>0.4993055555555555</v>
      </c>
      <c r="I73" s="11">
        <v>0</v>
      </c>
      <c r="J73" s="8">
        <v>0.2298611111111111</v>
      </c>
      <c r="K73" s="10">
        <v>-5469</v>
      </c>
      <c r="L73" s="8">
        <v>0.44791666666666669</v>
      </c>
      <c r="M73" s="10">
        <v>96035</v>
      </c>
      <c r="N73" s="8">
        <v>4.9305555555555554E-2</v>
      </c>
      <c r="O73" s="8">
        <v>80</v>
      </c>
      <c r="P73" s="8">
        <v>231833</v>
      </c>
      <c r="Q73" s="8">
        <f>YEAR(Table13[[#This Row],[release_date]])</f>
        <v>2023</v>
      </c>
      <c r="R73" s="8">
        <f>ROUND(Table13[[#This Row],[duration_ms]]/60000,2)</f>
        <v>3.86</v>
      </c>
      <c r="S73" s="8" t="str">
        <f>IF(Table13[[#This Row],[valence]]&gt;=0.6, "Happy", IF(Table13[[#This Row],[valence]]&gt;=0.4, "Neutral", "Sad"))</f>
        <v>Sad</v>
      </c>
      <c r="T73" s="8" t="str">
        <f>IF(Table13[[#This Row],[energy]]&gt;=0.7, "High Energy", IF(Table13[[#This Row],[energy]]&gt;=0.4, "Medium Energy", "Low Energy"))</f>
        <v>Medium Energy</v>
      </c>
      <c r="U73" s="17" t="str">
        <f>IF(Table13[[#This Row],[popularity]]&gt;70, "Popular", IF(Table13[[#This Row],[popularity]]&lt;40, "Less Popular", "Mid"))</f>
        <v>Popular</v>
      </c>
    </row>
    <row r="74" spans="2:21" x14ac:dyDescent="0.3">
      <c r="B74" s="8" t="s">
        <v>69</v>
      </c>
      <c r="C74" s="8" t="s">
        <v>114</v>
      </c>
      <c r="D74" s="9">
        <v>45225</v>
      </c>
      <c r="E74" s="8">
        <v>3</v>
      </c>
      <c r="F74" s="8" t="s">
        <v>70</v>
      </c>
      <c r="G74" s="8">
        <v>0.35694444444444445</v>
      </c>
      <c r="H74" s="8">
        <v>0.57013888888888886</v>
      </c>
      <c r="I74" s="8">
        <v>0.16111111111111112</v>
      </c>
      <c r="J74" s="8">
        <v>0.65694444444444444</v>
      </c>
      <c r="K74" s="10">
        <v>-4803</v>
      </c>
      <c r="L74" s="8">
        <v>0.30833333333333335</v>
      </c>
      <c r="M74" s="10">
        <v>94884</v>
      </c>
      <c r="N74" s="8">
        <v>0.20694444444444446</v>
      </c>
      <c r="O74" s="8">
        <v>79</v>
      </c>
      <c r="P74" s="8">
        <v>231000</v>
      </c>
      <c r="Q74" s="8">
        <f>YEAR(Table13[[#This Row],[release_date]])</f>
        <v>2023</v>
      </c>
      <c r="R74" s="8">
        <f>ROUND(Table13[[#This Row],[duration_ms]]/60000,2)</f>
        <v>3.85</v>
      </c>
      <c r="S74" s="8" t="str">
        <f>IF(Table13[[#This Row],[valence]]&gt;=0.6, "Happy", IF(Table13[[#This Row],[valence]]&gt;=0.4, "Neutral", "Sad"))</f>
        <v>Sad</v>
      </c>
      <c r="T74" s="8" t="str">
        <f>IF(Table13[[#This Row],[energy]]&gt;=0.7, "High Energy", IF(Table13[[#This Row],[energy]]&gt;=0.4, "Medium Energy", "Low Energy"))</f>
        <v>Medium Energy</v>
      </c>
      <c r="U74" s="17" t="str">
        <f>IF(Table13[[#This Row],[popularity]]&gt;70, "Popular", IF(Table13[[#This Row],[popularity]]&lt;40, "Less Popular", "Mid"))</f>
        <v>Popular</v>
      </c>
    </row>
    <row r="75" spans="2:21" x14ac:dyDescent="0.3">
      <c r="B75" s="8" t="s">
        <v>71</v>
      </c>
      <c r="C75" s="8" t="s">
        <v>114</v>
      </c>
      <c r="D75" s="9">
        <v>45225</v>
      </c>
      <c r="E75" s="8">
        <v>4</v>
      </c>
      <c r="F75" s="8" t="s">
        <v>72</v>
      </c>
      <c r="G75" s="8">
        <v>0.37777777777777777</v>
      </c>
      <c r="H75" s="8">
        <v>0.61388888888888882</v>
      </c>
      <c r="I75" s="8" t="s">
        <v>73</v>
      </c>
      <c r="J75" s="8">
        <v>0.26458333333333334</v>
      </c>
      <c r="K75" s="10">
        <v>-5973</v>
      </c>
      <c r="L75" s="8">
        <v>0.26597222222222222</v>
      </c>
      <c r="M75" s="10">
        <v>91981</v>
      </c>
      <c r="N75" s="8">
        <v>0.1277777777777778</v>
      </c>
      <c r="O75" s="8">
        <v>73</v>
      </c>
      <c r="P75" s="8">
        <v>235800</v>
      </c>
      <c r="Q75" s="8">
        <f>YEAR(Table13[[#This Row],[release_date]])</f>
        <v>2023</v>
      </c>
      <c r="R75" s="8">
        <f>ROUND(Table13[[#This Row],[duration_ms]]/60000,2)</f>
        <v>3.93</v>
      </c>
      <c r="S75" s="8" t="str">
        <f>IF(Table13[[#This Row],[valence]]&gt;=0.6, "Happy", IF(Table13[[#This Row],[valence]]&gt;=0.4, "Neutral", "Sad"))</f>
        <v>Sad</v>
      </c>
      <c r="T75" s="8" t="str">
        <f>IF(Table13[[#This Row],[energy]]&gt;=0.7, "High Energy", IF(Table13[[#This Row],[energy]]&gt;=0.4, "Medium Energy", "Low Energy"))</f>
        <v>Medium Energy</v>
      </c>
      <c r="U75" s="17" t="str">
        <f>IF(Table13[[#This Row],[popularity]]&gt;70, "Popular", IF(Table13[[#This Row],[popularity]]&lt;40, "Less Popular", "Mid"))</f>
        <v>Popular</v>
      </c>
    </row>
    <row r="76" spans="2:21" x14ac:dyDescent="0.3">
      <c r="B76" s="8" t="s">
        <v>74</v>
      </c>
      <c r="C76" s="8" t="s">
        <v>114</v>
      </c>
      <c r="D76" s="9">
        <v>45225</v>
      </c>
      <c r="E76" s="8">
        <v>5</v>
      </c>
      <c r="F76" s="8" t="s">
        <v>75</v>
      </c>
      <c r="G76" s="8">
        <v>0.40902777777777777</v>
      </c>
      <c r="H76" s="8">
        <v>0.49513888888888885</v>
      </c>
      <c r="I76" s="11">
        <v>0</v>
      </c>
      <c r="J76" s="8">
        <v>0.13055555555555556</v>
      </c>
      <c r="K76" s="10">
        <v>-5614</v>
      </c>
      <c r="L76" s="8">
        <v>0.21388888888888891</v>
      </c>
      <c r="M76" s="10">
        <v>97069</v>
      </c>
      <c r="N76" s="11">
        <v>3.7499999999999999E-2</v>
      </c>
      <c r="O76" s="8">
        <v>69</v>
      </c>
      <c r="P76" s="8">
        <v>193289</v>
      </c>
      <c r="Q76" s="8">
        <f>YEAR(Table13[[#This Row],[release_date]])</f>
        <v>2023</v>
      </c>
      <c r="R76" s="8">
        <f>ROUND(Table13[[#This Row],[duration_ms]]/60000,2)</f>
        <v>3.22</v>
      </c>
      <c r="S76" s="8" t="str">
        <f>IF(Table13[[#This Row],[valence]]&gt;=0.6, "Happy", IF(Table13[[#This Row],[valence]]&gt;=0.4, "Neutral", "Sad"))</f>
        <v>Sad</v>
      </c>
      <c r="T76" s="8" t="str">
        <f>IF(Table13[[#This Row],[energy]]&gt;=0.7, "High Energy", IF(Table13[[#This Row],[energy]]&gt;=0.4, "Medium Energy", "Low Energy"))</f>
        <v>Medium Energy</v>
      </c>
      <c r="U76" s="17" t="str">
        <f>IF(Table13[[#This Row],[popularity]]&gt;70, "Popular", IF(Table13[[#This Row],[popularity]]&lt;40, "Less Popular", "Mid"))</f>
        <v>Mid</v>
      </c>
    </row>
    <row r="77" spans="2:21" x14ac:dyDescent="0.3">
      <c r="B77" s="8" t="s">
        <v>76</v>
      </c>
      <c r="C77" s="8" t="s">
        <v>114</v>
      </c>
      <c r="D77" s="9">
        <v>45225</v>
      </c>
      <c r="E77" s="8">
        <v>6</v>
      </c>
      <c r="F77" s="8">
        <v>7.7777777777777779E-2</v>
      </c>
      <c r="G77" s="8">
        <v>0.43888888888888888</v>
      </c>
      <c r="H77" s="8">
        <v>0.55902777777777779</v>
      </c>
      <c r="I77" s="8" t="s">
        <v>77</v>
      </c>
      <c r="J77" s="8">
        <v>0.10833333333333334</v>
      </c>
      <c r="K77" s="10">
        <v>-5707</v>
      </c>
      <c r="L77" s="8" t="s">
        <v>78</v>
      </c>
      <c r="M77" s="10">
        <v>160052</v>
      </c>
      <c r="N77" s="8">
        <v>0.62708333333333333</v>
      </c>
      <c r="O77" s="8">
        <v>75</v>
      </c>
      <c r="P77" s="8">
        <v>219209</v>
      </c>
      <c r="Q77" s="8">
        <f>YEAR(Table13[[#This Row],[release_date]])</f>
        <v>2023</v>
      </c>
      <c r="R77" s="8">
        <f>ROUND(Table13[[#This Row],[duration_ms]]/60000,2)</f>
        <v>3.65</v>
      </c>
      <c r="S77" s="8" t="str">
        <f>IF(Table13[[#This Row],[valence]]&gt;=0.6, "Happy", IF(Table13[[#This Row],[valence]]&gt;=0.4, "Neutral", "Sad"))</f>
        <v>Happy</v>
      </c>
      <c r="T77" s="8" t="str">
        <f>IF(Table13[[#This Row],[energy]]&gt;=0.7, "High Energy", IF(Table13[[#This Row],[energy]]&gt;=0.4, "Medium Energy", "Low Energy"))</f>
        <v>Medium Energy</v>
      </c>
      <c r="U77" s="17" t="str">
        <f>IF(Table13[[#This Row],[popularity]]&gt;70, "Popular", IF(Table13[[#This Row],[popularity]]&lt;40, "Less Popular", "Mid"))</f>
        <v>Popular</v>
      </c>
    </row>
    <row r="78" spans="2:21" x14ac:dyDescent="0.3">
      <c r="B78" s="8" t="s">
        <v>79</v>
      </c>
      <c r="C78" s="8" t="s">
        <v>114</v>
      </c>
      <c r="D78" s="9">
        <v>45225</v>
      </c>
      <c r="E78" s="8">
        <v>7</v>
      </c>
      <c r="F78" s="8" t="s">
        <v>80</v>
      </c>
      <c r="G78" s="8">
        <v>0.46597222222222223</v>
      </c>
      <c r="H78" s="8">
        <v>0.59236111111111112</v>
      </c>
      <c r="I78" s="8" t="s">
        <v>81</v>
      </c>
      <c r="J78" s="8">
        <v>0.56388888888888888</v>
      </c>
      <c r="K78" s="10">
        <v>-6568</v>
      </c>
      <c r="L78" s="8">
        <v>0.28958333333333336</v>
      </c>
      <c r="M78" s="10">
        <v>118032</v>
      </c>
      <c r="N78" s="8">
        <v>0.36319444444444443</v>
      </c>
      <c r="O78" s="8">
        <v>68</v>
      </c>
      <c r="P78" s="8">
        <v>207650</v>
      </c>
      <c r="Q78" s="8">
        <f>YEAR(Table13[[#This Row],[release_date]])</f>
        <v>2023</v>
      </c>
      <c r="R78" s="8">
        <f>ROUND(Table13[[#This Row],[duration_ms]]/60000,2)</f>
        <v>3.46</v>
      </c>
      <c r="S78" s="8" t="str">
        <f>IF(Table13[[#This Row],[valence]]&gt;=0.6, "Happy", IF(Table13[[#This Row],[valence]]&gt;=0.4, "Neutral", "Sad"))</f>
        <v>Sad</v>
      </c>
      <c r="T78" s="8" t="str">
        <f>IF(Table13[[#This Row],[energy]]&gt;=0.7, "High Energy", IF(Table13[[#This Row],[energy]]&gt;=0.4, "Medium Energy", "Low Energy"))</f>
        <v>Medium Energy</v>
      </c>
      <c r="U78" s="17" t="str">
        <f>IF(Table13[[#This Row],[popularity]]&gt;70, "Popular", IF(Table13[[#This Row],[popularity]]&lt;40, "Less Popular", "Mid"))</f>
        <v>Mid</v>
      </c>
    </row>
    <row r="79" spans="2:21" x14ac:dyDescent="0.3">
      <c r="B79" s="8" t="s">
        <v>82</v>
      </c>
      <c r="C79" s="8" t="s">
        <v>114</v>
      </c>
      <c r="D79" s="9">
        <v>45225</v>
      </c>
      <c r="E79" s="8">
        <v>8</v>
      </c>
      <c r="F79" s="8">
        <v>0.25625000000000003</v>
      </c>
      <c r="G79" s="8">
        <v>0.43333333333333335</v>
      </c>
      <c r="H79" s="8">
        <v>0.49374999999999997</v>
      </c>
      <c r="I79" s="8" t="s">
        <v>83</v>
      </c>
      <c r="J79" s="11">
        <v>1.3194444444444444E-2</v>
      </c>
      <c r="K79" s="10">
        <v>-6347</v>
      </c>
      <c r="L79" s="8">
        <v>0.11041666666666666</v>
      </c>
      <c r="M79" s="10">
        <v>169999</v>
      </c>
      <c r="N79" s="8">
        <v>0.24097222222222223</v>
      </c>
      <c r="O79" s="8">
        <v>71</v>
      </c>
      <c r="P79" s="8">
        <v>211103</v>
      </c>
      <c r="Q79" s="8">
        <f>YEAR(Table13[[#This Row],[release_date]])</f>
        <v>2023</v>
      </c>
      <c r="R79" s="8">
        <f>ROUND(Table13[[#This Row],[duration_ms]]/60000,2)</f>
        <v>3.52</v>
      </c>
      <c r="S79" s="8" t="str">
        <f>IF(Table13[[#This Row],[valence]]&gt;=0.6, "Happy", IF(Table13[[#This Row],[valence]]&gt;=0.4, "Neutral", "Sad"))</f>
        <v>Sad</v>
      </c>
      <c r="T79" s="8" t="str">
        <f>IF(Table13[[#This Row],[energy]]&gt;=0.7, "High Energy", IF(Table13[[#This Row],[energy]]&gt;=0.4, "Medium Energy", "Low Energy"))</f>
        <v>Medium Energy</v>
      </c>
      <c r="U79" s="17" t="str">
        <f>IF(Table13[[#This Row],[popularity]]&gt;70, "Popular", IF(Table13[[#This Row],[popularity]]&lt;40, "Less Popular", "Mid"))</f>
        <v>Popular</v>
      </c>
    </row>
    <row r="80" spans="2:21" x14ac:dyDescent="0.3">
      <c r="B80" s="8" t="s">
        <v>84</v>
      </c>
      <c r="C80" s="8" t="s">
        <v>114</v>
      </c>
      <c r="D80" s="9">
        <v>45225</v>
      </c>
      <c r="E80" s="8">
        <v>9</v>
      </c>
      <c r="F80" s="8">
        <v>0.24166666666666667</v>
      </c>
      <c r="G80" s="8">
        <v>0.40763888888888888</v>
      </c>
      <c r="H80" s="8">
        <v>0.4604166666666667</v>
      </c>
      <c r="I80" s="8" t="s">
        <v>85</v>
      </c>
      <c r="J80" s="8">
        <v>0.6743055555555556</v>
      </c>
      <c r="K80" s="10">
        <v>-7439</v>
      </c>
      <c r="L80" s="8">
        <v>0.4152777777777778</v>
      </c>
      <c r="M80" s="10">
        <v>139993</v>
      </c>
      <c r="N80" s="8">
        <v>0.3743055555555555</v>
      </c>
      <c r="O80" s="8">
        <v>77</v>
      </c>
      <c r="P80" s="8">
        <v>220433</v>
      </c>
      <c r="Q80" s="8">
        <f>YEAR(Table13[[#This Row],[release_date]])</f>
        <v>2023</v>
      </c>
      <c r="R80" s="8">
        <f>ROUND(Table13[[#This Row],[duration_ms]]/60000,2)</f>
        <v>3.67</v>
      </c>
      <c r="S80" s="8" t="str">
        <f>IF(Table13[[#This Row],[valence]]&gt;=0.6, "Happy", IF(Table13[[#This Row],[valence]]&gt;=0.4, "Neutral", "Sad"))</f>
        <v>Sad</v>
      </c>
      <c r="T80" s="8" t="str">
        <f>IF(Table13[[#This Row],[energy]]&gt;=0.7, "High Energy", IF(Table13[[#This Row],[energy]]&gt;=0.4, "Medium Energy", "Low Energy"))</f>
        <v>Medium Energy</v>
      </c>
      <c r="U80" s="17" t="str">
        <f>IF(Table13[[#This Row],[popularity]]&gt;70, "Popular", IF(Table13[[#This Row],[popularity]]&lt;40, "Less Popular", "Mid"))</f>
        <v>Popular</v>
      </c>
    </row>
    <row r="81" spans="2:21" x14ac:dyDescent="0.3">
      <c r="B81" s="8" t="s">
        <v>86</v>
      </c>
      <c r="C81" s="8" t="s">
        <v>114</v>
      </c>
      <c r="D81" s="9">
        <v>45225</v>
      </c>
      <c r="E81" s="8">
        <v>10</v>
      </c>
      <c r="F81" s="8" t="s">
        <v>87</v>
      </c>
      <c r="G81" s="8">
        <v>0.52847222222222223</v>
      </c>
      <c r="H81" s="8">
        <v>4.6527777777777779E-2</v>
      </c>
      <c r="I81" s="8" t="s">
        <v>88</v>
      </c>
      <c r="J81" s="8">
        <v>0.60625000000000007</v>
      </c>
      <c r="K81" s="10">
        <v>-5956</v>
      </c>
      <c r="L81" s="8">
        <v>0.37291666666666662</v>
      </c>
      <c r="M81" s="10">
        <v>120014</v>
      </c>
      <c r="N81" s="8">
        <v>0.36041666666666666</v>
      </c>
      <c r="O81" s="8">
        <v>67</v>
      </c>
      <c r="P81" s="8">
        <v>247533</v>
      </c>
      <c r="Q81" s="8">
        <f>YEAR(Table13[[#This Row],[release_date]])</f>
        <v>2023</v>
      </c>
      <c r="R81" s="8">
        <f>ROUND(Table13[[#This Row],[duration_ms]]/60000,2)</f>
        <v>4.13</v>
      </c>
      <c r="S81" s="8" t="str">
        <f>IF(Table13[[#This Row],[valence]]&gt;=0.6, "Happy", IF(Table13[[#This Row],[valence]]&gt;=0.4, "Neutral", "Sad"))</f>
        <v>Sad</v>
      </c>
      <c r="T81" s="8" t="str">
        <f>IF(Table13[[#This Row],[energy]]&gt;=0.7, "High Energy", IF(Table13[[#This Row],[energy]]&gt;=0.4, "Medium Energy", "Low Energy"))</f>
        <v>Low Energy</v>
      </c>
      <c r="U81" s="17" t="str">
        <f>IF(Table13[[#This Row],[popularity]]&gt;70, "Popular", IF(Table13[[#This Row],[popularity]]&lt;40, "Less Popular", "Mid"))</f>
        <v>Mid</v>
      </c>
    </row>
    <row r="82" spans="2:21" x14ac:dyDescent="0.3">
      <c r="B82" s="8" t="s">
        <v>89</v>
      </c>
      <c r="C82" s="8" t="s">
        <v>114</v>
      </c>
      <c r="D82" s="9">
        <v>45225</v>
      </c>
      <c r="E82" s="8">
        <v>11</v>
      </c>
      <c r="F82" s="8">
        <v>0.20972222222222223</v>
      </c>
      <c r="G82" s="11">
        <v>3.2638888888888891E-2</v>
      </c>
      <c r="H82" s="8">
        <v>0.3430555555555555</v>
      </c>
      <c r="I82" s="11">
        <v>0</v>
      </c>
      <c r="J82" s="8">
        <v>0.46666666666666662</v>
      </c>
      <c r="K82" s="10">
        <v>-8672</v>
      </c>
      <c r="L82" s="8">
        <v>0.24236111111111111</v>
      </c>
      <c r="M82" s="10">
        <v>144039</v>
      </c>
      <c r="N82" s="8">
        <v>0.36388888888888887</v>
      </c>
      <c r="O82" s="8">
        <v>67</v>
      </c>
      <c r="P82" s="8">
        <v>250100</v>
      </c>
      <c r="Q82" s="8">
        <f>YEAR(Table13[[#This Row],[release_date]])</f>
        <v>2023</v>
      </c>
      <c r="R82" s="8">
        <f>ROUND(Table13[[#This Row],[duration_ms]]/60000,2)</f>
        <v>4.17</v>
      </c>
      <c r="S82" s="8" t="str">
        <f>IF(Table13[[#This Row],[valence]]&gt;=0.6, "Happy", IF(Table13[[#This Row],[valence]]&gt;=0.4, "Neutral", "Sad"))</f>
        <v>Sad</v>
      </c>
      <c r="T82" s="8" t="str">
        <f>IF(Table13[[#This Row],[energy]]&gt;=0.7, "High Energy", IF(Table13[[#This Row],[energy]]&gt;=0.4, "Medium Energy", "Low Energy"))</f>
        <v>Low Energy</v>
      </c>
      <c r="U82" s="17" t="str">
        <f>IF(Table13[[#This Row],[popularity]]&gt;70, "Popular", IF(Table13[[#This Row],[popularity]]&lt;40, "Less Popular", "Mid"))</f>
        <v>Mid</v>
      </c>
    </row>
    <row r="83" spans="2:21" x14ac:dyDescent="0.3">
      <c r="B83" s="8" t="s">
        <v>90</v>
      </c>
      <c r="C83" s="8" t="s">
        <v>114</v>
      </c>
      <c r="D83" s="9">
        <v>45225</v>
      </c>
      <c r="E83" s="8">
        <v>12</v>
      </c>
      <c r="F83" s="8">
        <v>0.58750000000000002</v>
      </c>
      <c r="G83" s="8">
        <v>0.3972222222222222</v>
      </c>
      <c r="H83" s="8">
        <v>0.56041666666666667</v>
      </c>
      <c r="I83" s="11">
        <v>0</v>
      </c>
      <c r="J83" s="8" t="s">
        <v>91</v>
      </c>
      <c r="K83" s="10">
        <v>-5348</v>
      </c>
      <c r="L83" s="8">
        <v>0.39861111111111108</v>
      </c>
      <c r="M83" s="10">
        <v>160015</v>
      </c>
      <c r="N83" s="8">
        <v>0.43472222222222223</v>
      </c>
      <c r="O83" s="8">
        <v>66</v>
      </c>
      <c r="P83" s="8">
        <v>195700</v>
      </c>
      <c r="Q83" s="8">
        <f>YEAR(Table13[[#This Row],[release_date]])</f>
        <v>2023</v>
      </c>
      <c r="R83" s="8">
        <f>ROUND(Table13[[#This Row],[duration_ms]]/60000,2)</f>
        <v>3.26</v>
      </c>
      <c r="S83" s="8" t="str">
        <f>IF(Table13[[#This Row],[valence]]&gt;=0.6, "Happy", IF(Table13[[#This Row],[valence]]&gt;=0.4, "Neutral", "Sad"))</f>
        <v>Neutral</v>
      </c>
      <c r="T83" s="8" t="str">
        <f>IF(Table13[[#This Row],[energy]]&gt;=0.7, "High Energy", IF(Table13[[#This Row],[energy]]&gt;=0.4, "Medium Energy", "Low Energy"))</f>
        <v>Medium Energy</v>
      </c>
      <c r="U83" s="17" t="str">
        <f>IF(Table13[[#This Row],[popularity]]&gt;70, "Popular", IF(Table13[[#This Row],[popularity]]&lt;40, "Less Popular", "Mid"))</f>
        <v>Mid</v>
      </c>
    </row>
    <row r="84" spans="2:21" x14ac:dyDescent="0.3">
      <c r="B84" s="8" t="s">
        <v>92</v>
      </c>
      <c r="C84" s="8" t="s">
        <v>114</v>
      </c>
      <c r="D84" s="9">
        <v>45225</v>
      </c>
      <c r="E84" s="8">
        <v>13</v>
      </c>
      <c r="F84" s="8">
        <v>0.20625000000000002</v>
      </c>
      <c r="G84" s="8">
        <v>0.54305555555555551</v>
      </c>
      <c r="H84" s="8">
        <v>0.26319444444444445</v>
      </c>
      <c r="I84" s="8" t="s">
        <v>93</v>
      </c>
      <c r="J84" s="8">
        <v>7.1527777777777773E-2</v>
      </c>
      <c r="K84" s="10">
        <v>-8964</v>
      </c>
      <c r="L84" s="8">
        <v>0.21041666666666667</v>
      </c>
      <c r="M84" s="8" t="s">
        <v>94</v>
      </c>
      <c r="N84" s="8">
        <v>0.18541666666666667</v>
      </c>
      <c r="O84" s="8">
        <v>70</v>
      </c>
      <c r="P84" s="8">
        <v>271000</v>
      </c>
      <c r="Q84" s="8">
        <f>YEAR(Table13[[#This Row],[release_date]])</f>
        <v>2023</v>
      </c>
      <c r="R84" s="8">
        <f>ROUND(Table13[[#This Row],[duration_ms]]/60000,2)</f>
        <v>4.5199999999999996</v>
      </c>
      <c r="S84" s="8" t="str">
        <f>IF(Table13[[#This Row],[valence]]&gt;=0.6, "Happy", IF(Table13[[#This Row],[valence]]&gt;=0.4, "Neutral", "Sad"))</f>
        <v>Sad</v>
      </c>
      <c r="T84" s="8" t="str">
        <f>IF(Table13[[#This Row],[energy]]&gt;=0.7, "High Energy", IF(Table13[[#This Row],[energy]]&gt;=0.4, "Medium Energy", "Low Energy"))</f>
        <v>Low Energy</v>
      </c>
      <c r="U84" s="17" t="str">
        <f>IF(Table13[[#This Row],[popularity]]&gt;70, "Popular", IF(Table13[[#This Row],[popularity]]&lt;40, "Less Popular", "Mid"))</f>
        <v>Mid</v>
      </c>
    </row>
    <row r="85" spans="2:21" x14ac:dyDescent="0.3">
      <c r="B85" s="8" t="s">
        <v>95</v>
      </c>
      <c r="C85" s="8" t="s">
        <v>114</v>
      </c>
      <c r="D85" s="9">
        <v>45225</v>
      </c>
      <c r="E85" s="8">
        <v>14</v>
      </c>
      <c r="F85" s="8">
        <v>7.2916666666666671E-2</v>
      </c>
      <c r="G85" s="8">
        <v>0.26874999999999999</v>
      </c>
      <c r="H85" s="8">
        <v>0.48819444444444443</v>
      </c>
      <c r="I85" s="8" t="s">
        <v>96</v>
      </c>
      <c r="J85" s="8">
        <v>8.8888888888888892E-2</v>
      </c>
      <c r="K85" s="10">
        <v>-5956</v>
      </c>
      <c r="L85" s="8">
        <v>0.37847222222222227</v>
      </c>
      <c r="M85" s="14">
        <v>5.1375000000000002</v>
      </c>
      <c r="N85" s="11">
        <v>2.2222222222222223E-2</v>
      </c>
      <c r="O85" s="8">
        <v>67</v>
      </c>
      <c r="P85" s="8">
        <v>245566</v>
      </c>
      <c r="Q85" s="8">
        <f>YEAR(Table13[[#This Row],[release_date]])</f>
        <v>2023</v>
      </c>
      <c r="R85" s="8">
        <f>ROUND(Table13[[#This Row],[duration_ms]]/60000,2)</f>
        <v>4.09</v>
      </c>
      <c r="S85" s="8" t="str">
        <f>IF(Table13[[#This Row],[valence]]&gt;=0.6, "Happy", IF(Table13[[#This Row],[valence]]&gt;=0.4, "Neutral", "Sad"))</f>
        <v>Sad</v>
      </c>
      <c r="T85" s="8" t="str">
        <f>IF(Table13[[#This Row],[energy]]&gt;=0.7, "High Energy", IF(Table13[[#This Row],[energy]]&gt;=0.4, "Medium Energy", "Low Energy"))</f>
        <v>Medium Energy</v>
      </c>
      <c r="U85" s="17" t="str">
        <f>IF(Table13[[#This Row],[popularity]]&gt;70, "Popular", IF(Table13[[#This Row],[popularity]]&lt;40, "Less Popular", "Mid"))</f>
        <v>Mid</v>
      </c>
    </row>
    <row r="86" spans="2:21" x14ac:dyDescent="0.3">
      <c r="B86" s="8" t="s">
        <v>97</v>
      </c>
      <c r="C86" s="8" t="s">
        <v>114</v>
      </c>
      <c r="D86" s="9">
        <v>45225</v>
      </c>
      <c r="E86" s="8">
        <v>15</v>
      </c>
      <c r="F86" s="8">
        <v>0.3972222222222222</v>
      </c>
      <c r="G86" s="8">
        <v>0.38472222222222219</v>
      </c>
      <c r="H86" s="8">
        <v>0.35347222222222219</v>
      </c>
      <c r="I86" s="8" t="s">
        <v>98</v>
      </c>
      <c r="J86" s="8">
        <v>7.8472222222222221E-2</v>
      </c>
      <c r="K86" s="10">
        <v>-9403</v>
      </c>
      <c r="L86" s="8">
        <v>0.31597222222222221</v>
      </c>
      <c r="M86" s="10">
        <v>85079</v>
      </c>
      <c r="N86" s="8">
        <v>0.27847222222222223</v>
      </c>
      <c r="O86" s="8">
        <v>69</v>
      </c>
      <c r="P86" s="8">
        <v>267389</v>
      </c>
      <c r="Q86" s="8">
        <f>YEAR(Table13[[#This Row],[release_date]])</f>
        <v>2023</v>
      </c>
      <c r="R86" s="8">
        <f>ROUND(Table13[[#This Row],[duration_ms]]/60000,2)</f>
        <v>4.46</v>
      </c>
      <c r="S86" s="8" t="str">
        <f>IF(Table13[[#This Row],[valence]]&gt;=0.6, "Happy", IF(Table13[[#This Row],[valence]]&gt;=0.4, "Neutral", "Sad"))</f>
        <v>Sad</v>
      </c>
      <c r="T86" s="8" t="str">
        <f>IF(Table13[[#This Row],[energy]]&gt;=0.7, "High Energy", IF(Table13[[#This Row],[energy]]&gt;=0.4, "Medium Energy", "Low Energy"))</f>
        <v>Low Energy</v>
      </c>
      <c r="U86" s="17" t="str">
        <f>IF(Table13[[#This Row],[popularity]]&gt;70, "Popular", IF(Table13[[#This Row],[popularity]]&lt;40, "Less Popular", "Mid"))</f>
        <v>Mid</v>
      </c>
    </row>
    <row r="87" spans="2:21" x14ac:dyDescent="0.3">
      <c r="B87" s="8" t="s">
        <v>99</v>
      </c>
      <c r="C87" s="8" t="s">
        <v>114</v>
      </c>
      <c r="D87" s="9">
        <v>45225</v>
      </c>
      <c r="E87" s="8">
        <v>16</v>
      </c>
      <c r="F87" s="8" t="s">
        <v>100</v>
      </c>
      <c r="G87" s="8">
        <v>0.45347222222222222</v>
      </c>
      <c r="H87" s="8">
        <v>0.58888888888888891</v>
      </c>
      <c r="I87" s="8" t="s">
        <v>101</v>
      </c>
      <c r="J87" s="8">
        <v>0.5541666666666667</v>
      </c>
      <c r="K87" s="10">
        <v>-5936</v>
      </c>
      <c r="L87" s="8">
        <v>0.40486111111111112</v>
      </c>
      <c r="M87" s="10">
        <v>122017</v>
      </c>
      <c r="N87" s="8">
        <v>0.50277777777777777</v>
      </c>
      <c r="O87" s="8">
        <v>74</v>
      </c>
      <c r="P87" s="8">
        <v>230177</v>
      </c>
      <c r="Q87" s="8">
        <f>YEAR(Table13[[#This Row],[release_date]])</f>
        <v>2023</v>
      </c>
      <c r="R87" s="8">
        <f>ROUND(Table13[[#This Row],[duration_ms]]/60000,2)</f>
        <v>3.84</v>
      </c>
      <c r="S87" s="8" t="str">
        <f>IF(Table13[[#This Row],[valence]]&gt;=0.6, "Happy", IF(Table13[[#This Row],[valence]]&gt;=0.4, "Neutral", "Sad"))</f>
        <v>Neutral</v>
      </c>
      <c r="T87" s="8" t="str">
        <f>IF(Table13[[#This Row],[energy]]&gt;=0.7, "High Energy", IF(Table13[[#This Row],[energy]]&gt;=0.4, "Medium Energy", "Low Energy"))</f>
        <v>Medium Energy</v>
      </c>
      <c r="U87" s="17" t="str">
        <f>IF(Table13[[#This Row],[popularity]]&gt;70, "Popular", IF(Table13[[#This Row],[popularity]]&lt;40, "Less Popular", "Mid"))</f>
        <v>Popular</v>
      </c>
    </row>
    <row r="88" spans="2:21" x14ac:dyDescent="0.3">
      <c r="B88" s="8" t="s">
        <v>102</v>
      </c>
      <c r="C88" s="8" t="s">
        <v>114</v>
      </c>
      <c r="D88" s="9">
        <v>45225</v>
      </c>
      <c r="E88" s="8">
        <v>17</v>
      </c>
      <c r="F88" s="11">
        <v>2.2916666666666669E-2</v>
      </c>
      <c r="G88" s="8">
        <v>0.43124999999999997</v>
      </c>
      <c r="H88" s="8">
        <v>0.28819444444444448</v>
      </c>
      <c r="I88" s="8" t="s">
        <v>103</v>
      </c>
      <c r="J88" s="8">
        <v>0.44027777777777777</v>
      </c>
      <c r="K88" s="10">
        <v>-13187</v>
      </c>
      <c r="L88" s="8">
        <v>0.37708333333333338</v>
      </c>
      <c r="M88" s="10">
        <v>77978</v>
      </c>
      <c r="N88" s="8">
        <v>0.21736111111111112</v>
      </c>
      <c r="O88" s="8">
        <v>77</v>
      </c>
      <c r="P88" s="8">
        <v>180381</v>
      </c>
      <c r="Q88" s="8">
        <f>YEAR(Table13[[#This Row],[release_date]])</f>
        <v>2023</v>
      </c>
      <c r="R88" s="8">
        <f>ROUND(Table13[[#This Row],[duration_ms]]/60000,2)</f>
        <v>3.01</v>
      </c>
      <c r="S88" s="8" t="str">
        <f>IF(Table13[[#This Row],[valence]]&gt;=0.6, "Happy", IF(Table13[[#This Row],[valence]]&gt;=0.4, "Neutral", "Sad"))</f>
        <v>Sad</v>
      </c>
      <c r="T88" s="8" t="str">
        <f>IF(Table13[[#This Row],[energy]]&gt;=0.7, "High Energy", IF(Table13[[#This Row],[energy]]&gt;=0.4, "Medium Energy", "Low Energy"))</f>
        <v>Low Energy</v>
      </c>
      <c r="U88" s="17" t="str">
        <f>IF(Table13[[#This Row],[popularity]]&gt;70, "Popular", IF(Table13[[#This Row],[popularity]]&lt;40, "Less Popular", "Mid"))</f>
        <v>Popular</v>
      </c>
    </row>
    <row r="89" spans="2:21" x14ac:dyDescent="0.3">
      <c r="B89" s="8" t="s">
        <v>104</v>
      </c>
      <c r="C89" s="8" t="s">
        <v>114</v>
      </c>
      <c r="D89" s="9">
        <v>45225</v>
      </c>
      <c r="E89" s="8">
        <v>18</v>
      </c>
      <c r="F89" s="8">
        <v>0.47500000000000003</v>
      </c>
      <c r="G89" s="8">
        <v>0.43888888888888888</v>
      </c>
      <c r="H89" s="8">
        <v>0.3743055555555555</v>
      </c>
      <c r="I89" s="8" t="s">
        <v>105</v>
      </c>
      <c r="J89" s="8">
        <v>9.1666666666666674E-2</v>
      </c>
      <c r="K89" s="10">
        <v>-8375</v>
      </c>
      <c r="L89" s="8">
        <v>0.23750000000000002</v>
      </c>
      <c r="M89" s="10">
        <v>109962</v>
      </c>
      <c r="N89" s="8">
        <v>0.12916666666666668</v>
      </c>
      <c r="O89" s="8">
        <v>73</v>
      </c>
      <c r="P89" s="8">
        <v>279833</v>
      </c>
      <c r="Q89" s="8">
        <f>YEAR(Table13[[#This Row],[release_date]])</f>
        <v>2023</v>
      </c>
      <c r="R89" s="8">
        <f>ROUND(Table13[[#This Row],[duration_ms]]/60000,2)</f>
        <v>4.66</v>
      </c>
      <c r="S89" s="8" t="str">
        <f>IF(Table13[[#This Row],[valence]]&gt;=0.6, "Happy", IF(Table13[[#This Row],[valence]]&gt;=0.4, "Neutral", "Sad"))</f>
        <v>Sad</v>
      </c>
      <c r="T89" s="8" t="str">
        <f>IF(Table13[[#This Row],[energy]]&gt;=0.7, "High Energy", IF(Table13[[#This Row],[energy]]&gt;=0.4, "Medium Energy", "Low Energy"))</f>
        <v>Low Energy</v>
      </c>
      <c r="U89" s="17" t="str">
        <f>IF(Table13[[#This Row],[popularity]]&gt;70, "Popular", IF(Table13[[#This Row],[popularity]]&lt;40, "Less Popular", "Mid"))</f>
        <v>Popular</v>
      </c>
    </row>
    <row r="90" spans="2:21" x14ac:dyDescent="0.3">
      <c r="B90" s="8" t="s">
        <v>106</v>
      </c>
      <c r="C90" s="8" t="s">
        <v>114</v>
      </c>
      <c r="D90" s="9">
        <v>45225</v>
      </c>
      <c r="E90" s="8">
        <v>19</v>
      </c>
      <c r="F90" s="11">
        <v>1.1111111111111112E-2</v>
      </c>
      <c r="G90" s="11">
        <v>5.5555555555555558E-3</v>
      </c>
      <c r="H90" s="8">
        <v>0.35347222222222219</v>
      </c>
      <c r="I90" s="8" t="s">
        <v>107</v>
      </c>
      <c r="J90" s="8">
        <v>0.57916666666666672</v>
      </c>
      <c r="K90" s="10">
        <v>-9386</v>
      </c>
      <c r="L90" s="8" t="s">
        <v>108</v>
      </c>
      <c r="M90" s="10">
        <v>109994</v>
      </c>
      <c r="N90" s="8">
        <v>0.53333333333333333</v>
      </c>
      <c r="O90" s="8">
        <v>77</v>
      </c>
      <c r="P90" s="8">
        <v>146436</v>
      </c>
      <c r="Q90" s="8">
        <f>YEAR(Table13[[#This Row],[release_date]])</f>
        <v>2023</v>
      </c>
      <c r="R90" s="8">
        <f>ROUND(Table13[[#This Row],[duration_ms]]/60000,2)</f>
        <v>2.44</v>
      </c>
      <c r="S90" s="8" t="str">
        <f>IF(Table13[[#This Row],[valence]]&gt;=0.6, "Happy", IF(Table13[[#This Row],[valence]]&gt;=0.4, "Neutral", "Sad"))</f>
        <v>Neutral</v>
      </c>
      <c r="T90" s="8" t="str">
        <f>IF(Table13[[#This Row],[energy]]&gt;=0.7, "High Energy", IF(Table13[[#This Row],[energy]]&gt;=0.4, "Medium Energy", "Low Energy"))</f>
        <v>Low Energy</v>
      </c>
      <c r="U90" s="17" t="str">
        <f>IF(Table13[[#This Row],[popularity]]&gt;70, "Popular", IF(Table13[[#This Row],[popularity]]&lt;40, "Less Popular", "Mid"))</f>
        <v>Popular</v>
      </c>
    </row>
    <row r="91" spans="2:21" x14ac:dyDescent="0.3">
      <c r="B91" s="8" t="s">
        <v>109</v>
      </c>
      <c r="C91" s="8" t="s">
        <v>114</v>
      </c>
      <c r="D91" s="9">
        <v>45225</v>
      </c>
      <c r="E91" s="8">
        <v>20</v>
      </c>
      <c r="F91" s="8">
        <v>0.14722222222222223</v>
      </c>
      <c r="G91" s="8">
        <v>0.4826388888888889</v>
      </c>
      <c r="H91" s="8">
        <v>0.42152777777777778</v>
      </c>
      <c r="I91" s="11">
        <v>0</v>
      </c>
      <c r="J91" s="8">
        <v>7.0833333333333331E-2</v>
      </c>
      <c r="K91" s="8" t="s">
        <v>110</v>
      </c>
      <c r="L91" s="8">
        <v>0.24791666666666667</v>
      </c>
      <c r="M91" s="10">
        <v>118043</v>
      </c>
      <c r="N91" s="8">
        <v>0.27361111111111108</v>
      </c>
      <c r="O91" s="8">
        <v>68</v>
      </c>
      <c r="P91" s="8">
        <v>171818</v>
      </c>
      <c r="Q91" s="8">
        <f>YEAR(Table13[[#This Row],[release_date]])</f>
        <v>2023</v>
      </c>
      <c r="R91" s="8">
        <f>ROUND(Table13[[#This Row],[duration_ms]]/60000,2)</f>
        <v>2.86</v>
      </c>
      <c r="S91" s="8" t="str">
        <f>IF(Table13[[#This Row],[valence]]&gt;=0.6, "Happy", IF(Table13[[#This Row],[valence]]&gt;=0.4, "Neutral", "Sad"))</f>
        <v>Sad</v>
      </c>
      <c r="T91" s="8" t="str">
        <f>IF(Table13[[#This Row],[energy]]&gt;=0.7, "High Energy", IF(Table13[[#This Row],[energy]]&gt;=0.4, "Medium Energy", "Low Energy"))</f>
        <v>Medium Energy</v>
      </c>
      <c r="U91" s="17" t="str">
        <f>IF(Table13[[#This Row],[popularity]]&gt;70, "Popular", IF(Table13[[#This Row],[popularity]]&lt;40, "Less Popular", "Mid"))</f>
        <v>Mid</v>
      </c>
    </row>
    <row r="92" spans="2:21" x14ac:dyDescent="0.3">
      <c r="B92" s="8" t="s">
        <v>111</v>
      </c>
      <c r="C92" s="8" t="s">
        <v>114</v>
      </c>
      <c r="D92" s="9">
        <v>45225</v>
      </c>
      <c r="E92" s="8">
        <v>21</v>
      </c>
      <c r="F92" s="8">
        <v>0.33749999999999997</v>
      </c>
      <c r="G92" s="8">
        <v>0.41597222222222219</v>
      </c>
      <c r="H92" s="8">
        <v>0.45208333333333334</v>
      </c>
      <c r="I92" s="11">
        <v>0</v>
      </c>
      <c r="J92" s="8">
        <v>8.7500000000000008E-2</v>
      </c>
      <c r="K92" s="10">
        <v>-7343</v>
      </c>
      <c r="L92" s="8" t="s">
        <v>112</v>
      </c>
      <c r="M92" s="10">
        <v>100001</v>
      </c>
      <c r="N92" s="8">
        <v>0.10625</v>
      </c>
      <c r="O92" s="8">
        <v>78</v>
      </c>
      <c r="P92" s="8">
        <v>229477</v>
      </c>
      <c r="Q92" s="8">
        <f>YEAR(Table13[[#This Row],[release_date]])</f>
        <v>2023</v>
      </c>
      <c r="R92" s="8">
        <f>ROUND(Table13[[#This Row],[duration_ms]]/60000,2)</f>
        <v>3.82</v>
      </c>
      <c r="S92" s="8" t="str">
        <f>IF(Table13[[#This Row],[valence]]&gt;=0.6, "Happy", IF(Table13[[#This Row],[valence]]&gt;=0.4, "Neutral", "Sad"))</f>
        <v>Sad</v>
      </c>
      <c r="T92" s="8" t="str">
        <f>IF(Table13[[#This Row],[energy]]&gt;=0.7, "High Energy", IF(Table13[[#This Row],[energy]]&gt;=0.4, "Medium Energy", "Low Energy"))</f>
        <v>Medium Energy</v>
      </c>
      <c r="U92" s="17" t="str">
        <f>IF(Table13[[#This Row],[popularity]]&gt;70, "Popular", IF(Table13[[#This Row],[popularity]]&lt;40, "Less Popular", "Mid"))</f>
        <v>Popular</v>
      </c>
    </row>
    <row r="93" spans="2:21" x14ac:dyDescent="0.3">
      <c r="B93" s="8" t="s">
        <v>115</v>
      </c>
      <c r="C93" s="8" t="s">
        <v>116</v>
      </c>
      <c r="D93" s="9">
        <v>45114</v>
      </c>
      <c r="E93" s="8">
        <v>1</v>
      </c>
      <c r="F93" s="8" t="s">
        <v>117</v>
      </c>
      <c r="G93" s="8">
        <v>0.44930555555555557</v>
      </c>
      <c r="H93" s="8">
        <v>0.55069444444444449</v>
      </c>
      <c r="I93" s="8" t="s">
        <v>118</v>
      </c>
      <c r="J93" s="8">
        <v>0.12083333333333333</v>
      </c>
      <c r="K93" s="10">
        <v>-2903</v>
      </c>
      <c r="L93" s="8">
        <v>0.25208333333333333</v>
      </c>
      <c r="M93" s="10">
        <v>121101</v>
      </c>
      <c r="N93" s="11">
        <v>3.472222222222222E-3</v>
      </c>
      <c r="O93" s="8">
        <v>74</v>
      </c>
      <c r="P93" s="8">
        <v>231706</v>
      </c>
      <c r="Q93" s="8">
        <f>YEAR(Table13[[#This Row],[release_date]])</f>
        <v>2023</v>
      </c>
      <c r="R93" s="8">
        <f>ROUND(Table13[[#This Row],[duration_ms]]/60000,2)</f>
        <v>3.86</v>
      </c>
      <c r="S93" s="8" t="str">
        <f>IF(Table13[[#This Row],[valence]]&gt;=0.6, "Happy", IF(Table13[[#This Row],[valence]]&gt;=0.4, "Neutral", "Sad"))</f>
        <v>Sad</v>
      </c>
      <c r="T93" s="8" t="str">
        <f>IF(Table13[[#This Row],[energy]]&gt;=0.7, "High Energy", IF(Table13[[#This Row],[energy]]&gt;=0.4, "Medium Energy", "Low Energy"))</f>
        <v>Medium Energy</v>
      </c>
      <c r="U93" s="17" t="str">
        <f>IF(Table13[[#This Row],[popularity]]&gt;70, "Popular", IF(Table13[[#This Row],[popularity]]&lt;40, "Less Popular", "Mid"))</f>
        <v>Popular</v>
      </c>
    </row>
    <row r="94" spans="2:21" x14ac:dyDescent="0.3">
      <c r="B94" s="8" t="s">
        <v>119</v>
      </c>
      <c r="C94" s="8" t="s">
        <v>116</v>
      </c>
      <c r="D94" s="9">
        <v>45114</v>
      </c>
      <c r="E94" s="8">
        <v>2</v>
      </c>
      <c r="F94" s="8">
        <v>0.1673611111111111</v>
      </c>
      <c r="G94" s="8">
        <v>0.4201388888888889</v>
      </c>
      <c r="H94" s="8">
        <v>0.53402777777777777</v>
      </c>
      <c r="I94" s="11">
        <v>0</v>
      </c>
      <c r="J94" s="8">
        <v>0.65</v>
      </c>
      <c r="K94" s="10">
        <v>-2413</v>
      </c>
      <c r="L94" s="8" t="s">
        <v>120</v>
      </c>
      <c r="M94" s="10">
        <v>114921</v>
      </c>
      <c r="N94" s="8">
        <v>0.25416666666666665</v>
      </c>
      <c r="O94" s="8">
        <v>72</v>
      </c>
      <c r="P94" s="8">
        <v>261230</v>
      </c>
      <c r="Q94" s="8">
        <f>YEAR(Table13[[#This Row],[release_date]])</f>
        <v>2023</v>
      </c>
      <c r="R94" s="8">
        <f>ROUND(Table13[[#This Row],[duration_ms]]/60000,2)</f>
        <v>4.3499999999999996</v>
      </c>
      <c r="S94" s="8" t="str">
        <f>IF(Table13[[#This Row],[valence]]&gt;=0.6, "Happy", IF(Table13[[#This Row],[valence]]&gt;=0.4, "Neutral", "Sad"))</f>
        <v>Sad</v>
      </c>
      <c r="T94" s="8" t="str">
        <f>IF(Table13[[#This Row],[energy]]&gt;=0.7, "High Energy", IF(Table13[[#This Row],[energy]]&gt;=0.4, "Medium Energy", "Low Energy"))</f>
        <v>Medium Energy</v>
      </c>
      <c r="U94" s="17" t="str">
        <f>IF(Table13[[#This Row],[popularity]]&gt;70, "Popular", IF(Table13[[#This Row],[popularity]]&lt;40, "Less Popular", "Mid"))</f>
        <v>Popular</v>
      </c>
    </row>
    <row r="95" spans="2:21" x14ac:dyDescent="0.3">
      <c r="B95" s="8" t="s">
        <v>121</v>
      </c>
      <c r="C95" s="8" t="s">
        <v>116</v>
      </c>
      <c r="D95" s="9">
        <v>45114</v>
      </c>
      <c r="E95" s="8">
        <v>3</v>
      </c>
      <c r="F95" s="8" t="s">
        <v>122</v>
      </c>
      <c r="G95" s="8">
        <v>0.33749999999999997</v>
      </c>
      <c r="H95" s="8">
        <v>0.44097222222222227</v>
      </c>
      <c r="I95" s="11">
        <v>0</v>
      </c>
      <c r="J95" s="8">
        <v>8.2638888888888887E-2</v>
      </c>
      <c r="K95" s="10">
        <v>-3994</v>
      </c>
      <c r="L95" s="8">
        <v>0.19305555555555556</v>
      </c>
      <c r="M95" s="10">
        <v>141868</v>
      </c>
      <c r="N95" s="8">
        <v>0.16319444444444445</v>
      </c>
      <c r="O95" s="8">
        <v>74</v>
      </c>
      <c r="P95" s="8">
        <v>294189</v>
      </c>
      <c r="Q95" s="8">
        <f>YEAR(Table13[[#This Row],[release_date]])</f>
        <v>2023</v>
      </c>
      <c r="R95" s="8">
        <f>ROUND(Table13[[#This Row],[duration_ms]]/60000,2)</f>
        <v>4.9000000000000004</v>
      </c>
      <c r="S95" s="8" t="str">
        <f>IF(Table13[[#This Row],[valence]]&gt;=0.6, "Happy", IF(Table13[[#This Row],[valence]]&gt;=0.4, "Neutral", "Sad"))</f>
        <v>Sad</v>
      </c>
      <c r="T95" s="8" t="str">
        <f>IF(Table13[[#This Row],[energy]]&gt;=0.7, "High Energy", IF(Table13[[#This Row],[energy]]&gt;=0.4, "Medium Energy", "Low Energy"))</f>
        <v>Medium Energy</v>
      </c>
      <c r="U95" s="17" t="str">
        <f>IF(Table13[[#This Row],[popularity]]&gt;70, "Popular", IF(Table13[[#This Row],[popularity]]&lt;40, "Less Popular", "Mid"))</f>
        <v>Popular</v>
      </c>
    </row>
    <row r="96" spans="2:21" x14ac:dyDescent="0.3">
      <c r="B96" s="8" t="s">
        <v>116</v>
      </c>
      <c r="C96" s="8" t="s">
        <v>116</v>
      </c>
      <c r="D96" s="9">
        <v>45114</v>
      </c>
      <c r="E96" s="8">
        <v>4</v>
      </c>
      <c r="F96" s="8">
        <v>0.15625</v>
      </c>
      <c r="G96" s="8">
        <v>0.50972222222222219</v>
      </c>
      <c r="H96" s="8">
        <v>0.47638888888888892</v>
      </c>
      <c r="I96" s="11">
        <v>0</v>
      </c>
      <c r="J96" s="8">
        <v>9.4444444444444442E-2</v>
      </c>
      <c r="K96" s="10">
        <v>-2926</v>
      </c>
      <c r="L96" s="8">
        <v>0.24236111111111111</v>
      </c>
      <c r="M96" s="10">
        <v>119002</v>
      </c>
      <c r="N96" s="8">
        <v>0.4152777777777778</v>
      </c>
      <c r="O96" s="8">
        <v>69</v>
      </c>
      <c r="P96" s="8">
        <v>242473</v>
      </c>
      <c r="Q96" s="8">
        <f>YEAR(Table13[[#This Row],[release_date]])</f>
        <v>2023</v>
      </c>
      <c r="R96" s="8">
        <f>ROUND(Table13[[#This Row],[duration_ms]]/60000,2)</f>
        <v>4.04</v>
      </c>
      <c r="S96" s="8" t="str">
        <f>IF(Table13[[#This Row],[valence]]&gt;=0.6, "Happy", IF(Table13[[#This Row],[valence]]&gt;=0.4, "Neutral", "Sad"))</f>
        <v>Neutral</v>
      </c>
      <c r="T96" s="8" t="str">
        <f>IF(Table13[[#This Row],[energy]]&gt;=0.7, "High Energy", IF(Table13[[#This Row],[energy]]&gt;=0.4, "Medium Energy", "Low Energy"))</f>
        <v>Medium Energy</v>
      </c>
      <c r="U96" s="17" t="str">
        <f>IF(Table13[[#This Row],[popularity]]&gt;70, "Popular", IF(Table13[[#This Row],[popularity]]&lt;40, "Less Popular", "Mid"))</f>
        <v>Mid</v>
      </c>
    </row>
    <row r="97" spans="2:21" x14ac:dyDescent="0.3">
      <c r="B97" s="8" t="s">
        <v>123</v>
      </c>
      <c r="C97" s="8" t="s">
        <v>116</v>
      </c>
      <c r="D97" s="9">
        <v>45114</v>
      </c>
      <c r="E97" s="8">
        <v>5</v>
      </c>
      <c r="F97" s="8">
        <v>0.22708333333333333</v>
      </c>
      <c r="G97" s="8">
        <v>0.26319444444444445</v>
      </c>
      <c r="H97" s="8">
        <v>0.32500000000000001</v>
      </c>
      <c r="I97" s="11">
        <v>0</v>
      </c>
      <c r="J97" s="8">
        <v>0.10972222222222222</v>
      </c>
      <c r="K97" s="8" t="s">
        <v>124</v>
      </c>
      <c r="L97" s="8">
        <v>0.20694444444444446</v>
      </c>
      <c r="M97" s="10">
        <v>119447</v>
      </c>
      <c r="N97" s="8">
        <v>7.9861111111111119E-2</v>
      </c>
      <c r="O97" s="8">
        <v>69</v>
      </c>
      <c r="P97" s="8">
        <v>405906</v>
      </c>
      <c r="Q97" s="8">
        <f>YEAR(Table13[[#This Row],[release_date]])</f>
        <v>2023</v>
      </c>
      <c r="R97" s="8">
        <f>ROUND(Table13[[#This Row],[duration_ms]]/60000,2)</f>
        <v>6.77</v>
      </c>
      <c r="S97" s="8" t="str">
        <f>IF(Table13[[#This Row],[valence]]&gt;=0.6, "Happy", IF(Table13[[#This Row],[valence]]&gt;=0.4, "Neutral", "Sad"))</f>
        <v>Sad</v>
      </c>
      <c r="T97" s="8" t="str">
        <f>IF(Table13[[#This Row],[energy]]&gt;=0.7, "High Energy", IF(Table13[[#This Row],[energy]]&gt;=0.4, "Medium Energy", "Low Energy"))</f>
        <v>Low Energy</v>
      </c>
      <c r="U97" s="17" t="str">
        <f>IF(Table13[[#This Row],[popularity]]&gt;70, "Popular", IF(Table13[[#This Row],[popularity]]&lt;40, "Less Popular", "Mid"))</f>
        <v>Mid</v>
      </c>
    </row>
    <row r="98" spans="2:21" x14ac:dyDescent="0.3">
      <c r="B98" s="8" t="s">
        <v>125</v>
      </c>
      <c r="C98" s="8" t="s">
        <v>116</v>
      </c>
      <c r="D98" s="9">
        <v>45114</v>
      </c>
      <c r="E98" s="8">
        <v>6</v>
      </c>
      <c r="F98" s="8">
        <v>0.22291666666666665</v>
      </c>
      <c r="G98" s="8">
        <v>0.36527777777777781</v>
      </c>
      <c r="H98" s="11">
        <v>4.8611111111111112E-3</v>
      </c>
      <c r="I98" s="11">
        <v>0</v>
      </c>
      <c r="J98" s="8">
        <v>0.14791666666666667</v>
      </c>
      <c r="K98" s="8" t="s">
        <v>126</v>
      </c>
      <c r="L98" s="8">
        <v>0.2722222222222222</v>
      </c>
      <c r="M98" s="10">
        <v>163949</v>
      </c>
      <c r="N98" s="8">
        <v>0.41388888888888892</v>
      </c>
      <c r="O98" s="8">
        <v>69</v>
      </c>
      <c r="P98" s="8">
        <v>238693</v>
      </c>
      <c r="Q98" s="8">
        <f>YEAR(Table13[[#This Row],[release_date]])</f>
        <v>2023</v>
      </c>
      <c r="R98" s="8">
        <f>ROUND(Table13[[#This Row],[duration_ms]]/60000,2)</f>
        <v>3.98</v>
      </c>
      <c r="S98" s="8" t="str">
        <f>IF(Table13[[#This Row],[valence]]&gt;=0.6, "Happy", IF(Table13[[#This Row],[valence]]&gt;=0.4, "Neutral", "Sad"))</f>
        <v>Neutral</v>
      </c>
      <c r="T98" s="8" t="str">
        <f>IF(Table13[[#This Row],[energy]]&gt;=0.7, "High Energy", IF(Table13[[#This Row],[energy]]&gt;=0.4, "Medium Energy", "Low Energy"))</f>
        <v>Low Energy</v>
      </c>
      <c r="U98" s="17" t="str">
        <f>IF(Table13[[#This Row],[popularity]]&gt;70, "Popular", IF(Table13[[#This Row],[popularity]]&lt;40, "Less Popular", "Mid"))</f>
        <v>Mid</v>
      </c>
    </row>
    <row r="99" spans="2:21" x14ac:dyDescent="0.3">
      <c r="B99" s="8" t="s">
        <v>127</v>
      </c>
      <c r="C99" s="8" t="s">
        <v>116</v>
      </c>
      <c r="D99" s="9">
        <v>45114</v>
      </c>
      <c r="E99" s="8">
        <v>7</v>
      </c>
      <c r="F99" s="8" t="s">
        <v>128</v>
      </c>
      <c r="G99" s="8">
        <v>0.35833333333333334</v>
      </c>
      <c r="H99" s="8">
        <v>0.5444444444444444</v>
      </c>
      <c r="I99" s="11">
        <v>0</v>
      </c>
      <c r="J99" s="8">
        <v>0.34652777777777777</v>
      </c>
      <c r="K99" s="10">
        <v>-2636</v>
      </c>
      <c r="L99" s="8">
        <v>0.39097222222222222</v>
      </c>
      <c r="M99" s="10">
        <v>139787</v>
      </c>
      <c r="N99" s="8">
        <v>0.3833333333333333</v>
      </c>
      <c r="O99" s="8">
        <v>70</v>
      </c>
      <c r="P99" s="8">
        <v>267653</v>
      </c>
      <c r="Q99" s="8">
        <f>YEAR(Table13[[#This Row],[release_date]])</f>
        <v>2023</v>
      </c>
      <c r="R99" s="8">
        <f>ROUND(Table13[[#This Row],[duration_ms]]/60000,2)</f>
        <v>4.46</v>
      </c>
      <c r="S99" s="8" t="str">
        <f>IF(Table13[[#This Row],[valence]]&gt;=0.6, "Happy", IF(Table13[[#This Row],[valence]]&gt;=0.4, "Neutral", "Sad"))</f>
        <v>Sad</v>
      </c>
      <c r="T99" s="8" t="str">
        <f>IF(Table13[[#This Row],[energy]]&gt;=0.7, "High Energy", IF(Table13[[#This Row],[energy]]&gt;=0.4, "Medium Energy", "Low Energy"))</f>
        <v>Medium Energy</v>
      </c>
      <c r="U99" s="17" t="str">
        <f>IF(Table13[[#This Row],[popularity]]&gt;70, "Popular", IF(Table13[[#This Row],[popularity]]&lt;40, "Less Popular", "Mid"))</f>
        <v>Mid</v>
      </c>
    </row>
    <row r="100" spans="2:21" x14ac:dyDescent="0.3">
      <c r="B100" s="8" t="s">
        <v>129</v>
      </c>
      <c r="C100" s="8" t="s">
        <v>116</v>
      </c>
      <c r="D100" s="9">
        <v>45114</v>
      </c>
      <c r="E100" s="8">
        <v>8</v>
      </c>
      <c r="F100" s="8">
        <v>0.6020833333333333</v>
      </c>
      <c r="G100" s="8">
        <v>0.47500000000000003</v>
      </c>
      <c r="H100" s="8">
        <v>0.23541666666666669</v>
      </c>
      <c r="I100" s="11">
        <v>0</v>
      </c>
      <c r="J100" s="8">
        <v>0.13472222222222222</v>
      </c>
      <c r="K100" s="10">
        <v>-7259</v>
      </c>
      <c r="L100" s="8" t="s">
        <v>130</v>
      </c>
      <c r="M100" s="10">
        <v>125054</v>
      </c>
      <c r="N100" s="8">
        <v>0.3972222222222222</v>
      </c>
      <c r="O100" s="8">
        <v>65</v>
      </c>
      <c r="P100" s="8">
        <v>292920</v>
      </c>
      <c r="Q100" s="8">
        <f>YEAR(Table13[[#This Row],[release_date]])</f>
        <v>2023</v>
      </c>
      <c r="R100" s="8">
        <f>ROUND(Table13[[#This Row],[duration_ms]]/60000,2)</f>
        <v>4.88</v>
      </c>
      <c r="S100" s="8" t="str">
        <f>IF(Table13[[#This Row],[valence]]&gt;=0.6, "Happy", IF(Table13[[#This Row],[valence]]&gt;=0.4, "Neutral", "Sad"))</f>
        <v>Sad</v>
      </c>
      <c r="T100" s="8" t="str">
        <f>IF(Table13[[#This Row],[energy]]&gt;=0.7, "High Energy", IF(Table13[[#This Row],[energy]]&gt;=0.4, "Medium Energy", "Low Energy"))</f>
        <v>Low Energy</v>
      </c>
      <c r="U100" s="17" t="str">
        <f>IF(Table13[[#This Row],[popularity]]&gt;70, "Popular", IF(Table13[[#This Row],[popularity]]&lt;40, "Less Popular", "Mid"))</f>
        <v>Mid</v>
      </c>
    </row>
    <row r="101" spans="2:21" x14ac:dyDescent="0.3">
      <c r="B101" s="8" t="s">
        <v>131</v>
      </c>
      <c r="C101" s="8" t="s">
        <v>116</v>
      </c>
      <c r="D101" s="9">
        <v>45114</v>
      </c>
      <c r="E101" s="8">
        <v>9</v>
      </c>
      <c r="F101" s="8" t="s">
        <v>132</v>
      </c>
      <c r="G101" s="11">
        <v>3.6111111111111115E-2</v>
      </c>
      <c r="H101" s="8">
        <v>0.3840277777777778</v>
      </c>
      <c r="I101" s="11">
        <v>0</v>
      </c>
      <c r="J101" s="8">
        <v>0.11458333333333333</v>
      </c>
      <c r="K101" s="10">
        <v>-3546</v>
      </c>
      <c r="L101" s="8">
        <v>0.18680555555555556</v>
      </c>
      <c r="M101" s="10">
        <v>81949</v>
      </c>
      <c r="N101" s="8">
        <v>0.15763888888888888</v>
      </c>
      <c r="O101" s="8">
        <v>80</v>
      </c>
      <c r="P101" s="8">
        <v>353253</v>
      </c>
      <c r="Q101" s="8">
        <f>YEAR(Table13[[#This Row],[release_date]])</f>
        <v>2023</v>
      </c>
      <c r="R101" s="8">
        <f>ROUND(Table13[[#This Row],[duration_ms]]/60000,2)</f>
        <v>5.89</v>
      </c>
      <c r="S101" s="8" t="str">
        <f>IF(Table13[[#This Row],[valence]]&gt;=0.6, "Happy", IF(Table13[[#This Row],[valence]]&gt;=0.4, "Neutral", "Sad"))</f>
        <v>Sad</v>
      </c>
      <c r="T101" s="8" t="str">
        <f>IF(Table13[[#This Row],[energy]]&gt;=0.7, "High Energy", IF(Table13[[#This Row],[energy]]&gt;=0.4, "Medium Energy", "Low Energy"))</f>
        <v>Low Energy</v>
      </c>
      <c r="U101" s="17" t="str">
        <f>IF(Table13[[#This Row],[popularity]]&gt;70, "Popular", IF(Table13[[#This Row],[popularity]]&lt;40, "Less Popular", "Mid"))</f>
        <v>Popular</v>
      </c>
    </row>
    <row r="102" spans="2:21" x14ac:dyDescent="0.3">
      <c r="B102" s="8" t="s">
        <v>133</v>
      </c>
      <c r="C102" s="8" t="s">
        <v>116</v>
      </c>
      <c r="D102" s="9">
        <v>45114</v>
      </c>
      <c r="E102" s="8">
        <v>10</v>
      </c>
      <c r="F102" s="8" t="s">
        <v>134</v>
      </c>
      <c r="G102" s="8">
        <v>0.35069444444444442</v>
      </c>
      <c r="H102" s="8">
        <v>0.62013888888888891</v>
      </c>
      <c r="I102" s="11">
        <v>0</v>
      </c>
      <c r="J102" s="8">
        <v>0.12361111111111112</v>
      </c>
      <c r="K102" s="10">
        <v>-3013</v>
      </c>
      <c r="L102" s="8">
        <v>0.53541666666666665</v>
      </c>
      <c r="M102" s="10">
        <v>145913</v>
      </c>
      <c r="N102" s="8">
        <v>0.45763888888888887</v>
      </c>
      <c r="O102" s="8">
        <v>71</v>
      </c>
      <c r="P102" s="8">
        <v>220306</v>
      </c>
      <c r="Q102" s="8">
        <f>YEAR(Table13[[#This Row],[release_date]])</f>
        <v>2023</v>
      </c>
      <c r="R102" s="8">
        <f>ROUND(Table13[[#This Row],[duration_ms]]/60000,2)</f>
        <v>3.67</v>
      </c>
      <c r="S102" s="8" t="str">
        <f>IF(Table13[[#This Row],[valence]]&gt;=0.6, "Happy", IF(Table13[[#This Row],[valence]]&gt;=0.4, "Neutral", "Sad"))</f>
        <v>Neutral</v>
      </c>
      <c r="T102" s="8" t="str">
        <f>IF(Table13[[#This Row],[energy]]&gt;=0.7, "High Energy", IF(Table13[[#This Row],[energy]]&gt;=0.4, "Medium Energy", "Low Energy"))</f>
        <v>Medium Energy</v>
      </c>
      <c r="U102" s="17" t="str">
        <f>IF(Table13[[#This Row],[popularity]]&gt;70, "Popular", IF(Table13[[#This Row],[popularity]]&lt;40, "Less Popular", "Mid"))</f>
        <v>Popular</v>
      </c>
    </row>
    <row r="103" spans="2:21" x14ac:dyDescent="0.3">
      <c r="B103" s="8" t="s">
        <v>135</v>
      </c>
      <c r="C103" s="8" t="s">
        <v>116</v>
      </c>
      <c r="D103" s="9">
        <v>45114</v>
      </c>
      <c r="E103" s="8">
        <v>11</v>
      </c>
      <c r="F103" s="8">
        <v>0.67499999999999993</v>
      </c>
      <c r="G103" s="8">
        <v>0.36388888888888887</v>
      </c>
      <c r="H103" s="8">
        <v>0.42430555555555555</v>
      </c>
      <c r="I103" s="11">
        <v>0</v>
      </c>
      <c r="J103" s="8">
        <v>8.819444444444445E-2</v>
      </c>
      <c r="K103" s="10">
        <v>-5298</v>
      </c>
      <c r="L103" s="8">
        <v>0.20625000000000002</v>
      </c>
      <c r="M103" s="10">
        <v>133583</v>
      </c>
      <c r="N103" s="8">
        <v>8.7500000000000008E-2</v>
      </c>
      <c r="O103" s="8">
        <v>63</v>
      </c>
      <c r="P103" s="8">
        <v>301221</v>
      </c>
      <c r="Q103" s="8">
        <f>YEAR(Table13[[#This Row],[release_date]])</f>
        <v>2023</v>
      </c>
      <c r="R103" s="8">
        <f>ROUND(Table13[[#This Row],[duration_ms]]/60000,2)</f>
        <v>5.0199999999999996</v>
      </c>
      <c r="S103" s="8" t="str">
        <f>IF(Table13[[#This Row],[valence]]&gt;=0.6, "Happy", IF(Table13[[#This Row],[valence]]&gt;=0.4, "Neutral", "Sad"))</f>
        <v>Sad</v>
      </c>
      <c r="T103" s="8" t="str">
        <f>IF(Table13[[#This Row],[energy]]&gt;=0.7, "High Energy", IF(Table13[[#This Row],[energy]]&gt;=0.4, "Medium Energy", "Low Energy"))</f>
        <v>Medium Energy</v>
      </c>
      <c r="U103" s="17" t="str">
        <f>IF(Table13[[#This Row],[popularity]]&gt;70, "Popular", IF(Table13[[#This Row],[popularity]]&lt;40, "Less Popular", "Mid"))</f>
        <v>Mid</v>
      </c>
    </row>
    <row r="104" spans="2:21" x14ac:dyDescent="0.3">
      <c r="B104" s="8" t="s">
        <v>136</v>
      </c>
      <c r="C104" s="8" t="s">
        <v>116</v>
      </c>
      <c r="D104" s="9">
        <v>45114</v>
      </c>
      <c r="E104" s="8">
        <v>12</v>
      </c>
      <c r="F104" s="8" t="s">
        <v>137</v>
      </c>
      <c r="G104" s="11">
        <v>3.0555555555555555E-2</v>
      </c>
      <c r="H104" s="8">
        <v>0.63611111111111118</v>
      </c>
      <c r="I104" s="11">
        <v>0</v>
      </c>
      <c r="J104" s="8">
        <v>0.17500000000000002</v>
      </c>
      <c r="K104" s="10">
        <v>-1927</v>
      </c>
      <c r="L104" s="8">
        <v>0.4368055555555555</v>
      </c>
      <c r="M104" s="10">
        <v>162025</v>
      </c>
      <c r="N104" s="8">
        <v>0.25763888888888892</v>
      </c>
      <c r="O104" s="8">
        <v>69</v>
      </c>
      <c r="P104" s="8">
        <v>245413</v>
      </c>
      <c r="Q104" s="8">
        <f>YEAR(Table13[[#This Row],[release_date]])</f>
        <v>2023</v>
      </c>
      <c r="R104" s="8">
        <f>ROUND(Table13[[#This Row],[duration_ms]]/60000,2)</f>
        <v>4.09</v>
      </c>
      <c r="S104" s="8" t="str">
        <f>IF(Table13[[#This Row],[valence]]&gt;=0.6, "Happy", IF(Table13[[#This Row],[valence]]&gt;=0.4, "Neutral", "Sad"))</f>
        <v>Sad</v>
      </c>
      <c r="T104" s="8" t="str">
        <f>IF(Table13[[#This Row],[energy]]&gt;=0.7, "High Energy", IF(Table13[[#This Row],[energy]]&gt;=0.4, "Medium Energy", "Low Energy"))</f>
        <v>Medium Energy</v>
      </c>
      <c r="U104" s="17" t="str">
        <f>IF(Table13[[#This Row],[popularity]]&gt;70, "Popular", IF(Table13[[#This Row],[popularity]]&lt;40, "Less Popular", "Mid"))</f>
        <v>Mid</v>
      </c>
    </row>
    <row r="105" spans="2:21" x14ac:dyDescent="0.3">
      <c r="B105" s="8" t="s">
        <v>138</v>
      </c>
      <c r="C105" s="8" t="s">
        <v>116</v>
      </c>
      <c r="D105" s="9">
        <v>45114</v>
      </c>
      <c r="E105" s="8">
        <v>13</v>
      </c>
      <c r="F105" s="8">
        <v>0.30763888888888891</v>
      </c>
      <c r="G105" s="8">
        <v>0.38680555555555557</v>
      </c>
      <c r="H105" s="8">
        <v>0.25138888888888888</v>
      </c>
      <c r="I105" s="8" t="s">
        <v>139</v>
      </c>
      <c r="J105" s="11">
        <v>6.9444444444444447E-4</v>
      </c>
      <c r="K105" s="10">
        <v>-8641</v>
      </c>
      <c r="L105" s="8">
        <v>0.18263888888888891</v>
      </c>
      <c r="M105" s="10">
        <v>79573</v>
      </c>
      <c r="N105" s="8">
        <v>0.12986111111111112</v>
      </c>
      <c r="O105" s="8">
        <v>69</v>
      </c>
      <c r="P105" s="8">
        <v>369120</v>
      </c>
      <c r="Q105" s="8">
        <f>YEAR(Table13[[#This Row],[release_date]])</f>
        <v>2023</v>
      </c>
      <c r="R105" s="8">
        <f>ROUND(Table13[[#This Row],[duration_ms]]/60000,2)</f>
        <v>6.15</v>
      </c>
      <c r="S105" s="8" t="str">
        <f>IF(Table13[[#This Row],[valence]]&gt;=0.6, "Happy", IF(Table13[[#This Row],[valence]]&gt;=0.4, "Neutral", "Sad"))</f>
        <v>Sad</v>
      </c>
      <c r="T105" s="8" t="str">
        <f>IF(Table13[[#This Row],[energy]]&gt;=0.7, "High Energy", IF(Table13[[#This Row],[energy]]&gt;=0.4, "Medium Energy", "Low Energy"))</f>
        <v>Low Energy</v>
      </c>
      <c r="U105" s="17" t="str">
        <f>IF(Table13[[#This Row],[popularity]]&gt;70, "Popular", IF(Table13[[#This Row],[popularity]]&lt;40, "Less Popular", "Mid"))</f>
        <v>Mid</v>
      </c>
    </row>
    <row r="106" spans="2:21" x14ac:dyDescent="0.3">
      <c r="B106" s="8" t="s">
        <v>140</v>
      </c>
      <c r="C106" s="8" t="s">
        <v>116</v>
      </c>
      <c r="D106" s="9">
        <v>45114</v>
      </c>
      <c r="E106" s="8">
        <v>14</v>
      </c>
      <c r="F106" s="8">
        <v>0.1125</v>
      </c>
      <c r="G106" s="11">
        <v>2.6388888888888889E-2</v>
      </c>
      <c r="H106" s="8">
        <v>0.43611111111111112</v>
      </c>
      <c r="I106" s="11">
        <v>0</v>
      </c>
      <c r="J106" s="8">
        <v>0.15763888888888888</v>
      </c>
      <c r="K106" s="10">
        <v>-4054</v>
      </c>
      <c r="L106" s="8" t="s">
        <v>43</v>
      </c>
      <c r="M106" s="10">
        <v>203826</v>
      </c>
      <c r="N106" s="8">
        <v>0.68333333333333324</v>
      </c>
      <c r="O106" s="8">
        <v>73</v>
      </c>
      <c r="P106" s="8">
        <v>317960</v>
      </c>
      <c r="Q106" s="8">
        <f>YEAR(Table13[[#This Row],[release_date]])</f>
        <v>2023</v>
      </c>
      <c r="R106" s="8">
        <f>ROUND(Table13[[#This Row],[duration_ms]]/60000,2)</f>
        <v>5.3</v>
      </c>
      <c r="S106" s="8" t="str">
        <f>IF(Table13[[#This Row],[valence]]&gt;=0.6, "Happy", IF(Table13[[#This Row],[valence]]&gt;=0.4, "Neutral", "Sad"))</f>
        <v>Happy</v>
      </c>
      <c r="T106" s="8" t="str">
        <f>IF(Table13[[#This Row],[energy]]&gt;=0.7, "High Energy", IF(Table13[[#This Row],[energy]]&gt;=0.4, "Medium Energy", "Low Energy"))</f>
        <v>Medium Energy</v>
      </c>
      <c r="U106" s="17" t="str">
        <f>IF(Table13[[#This Row],[popularity]]&gt;70, "Popular", IF(Table13[[#This Row],[popularity]]&lt;40, "Less Popular", "Mid"))</f>
        <v>Popular</v>
      </c>
    </row>
    <row r="107" spans="2:21" x14ac:dyDescent="0.3">
      <c r="B107" s="8" t="s">
        <v>141</v>
      </c>
      <c r="C107" s="8" t="s">
        <v>116</v>
      </c>
      <c r="D107" s="9">
        <v>45114</v>
      </c>
      <c r="E107" s="8">
        <v>15</v>
      </c>
      <c r="F107" s="11">
        <v>2.9166666666666664E-2</v>
      </c>
      <c r="G107" s="8">
        <v>0.3743055555555555</v>
      </c>
      <c r="H107" s="8">
        <v>0.3298611111111111</v>
      </c>
      <c r="I107" s="11">
        <v>0</v>
      </c>
      <c r="J107" s="8">
        <v>7.5694444444444439E-2</v>
      </c>
      <c r="K107" s="10">
        <v>-8411</v>
      </c>
      <c r="L107" s="8">
        <v>0.19930555555555554</v>
      </c>
      <c r="M107" s="10">
        <v>159824</v>
      </c>
      <c r="N107" s="8">
        <v>0.20347222222222225</v>
      </c>
      <c r="O107" s="8">
        <v>66</v>
      </c>
      <c r="P107" s="8">
        <v>235803</v>
      </c>
      <c r="Q107" s="8">
        <f>YEAR(Table13[[#This Row],[release_date]])</f>
        <v>2023</v>
      </c>
      <c r="R107" s="8">
        <f>ROUND(Table13[[#This Row],[duration_ms]]/60000,2)</f>
        <v>3.93</v>
      </c>
      <c r="S107" s="8" t="str">
        <f>IF(Table13[[#This Row],[valence]]&gt;=0.6, "Happy", IF(Table13[[#This Row],[valence]]&gt;=0.4, "Neutral", "Sad"))</f>
        <v>Sad</v>
      </c>
      <c r="T107" s="8" t="str">
        <f>IF(Table13[[#This Row],[energy]]&gt;=0.7, "High Energy", IF(Table13[[#This Row],[energy]]&gt;=0.4, "Medium Energy", "Low Energy"))</f>
        <v>Low Energy</v>
      </c>
      <c r="U107" s="17" t="str">
        <f>IF(Table13[[#This Row],[popularity]]&gt;70, "Popular", IF(Table13[[#This Row],[popularity]]&lt;40, "Less Popular", "Mid"))</f>
        <v>Mid</v>
      </c>
    </row>
    <row r="108" spans="2:21" x14ac:dyDescent="0.3">
      <c r="B108" s="8" t="s">
        <v>142</v>
      </c>
      <c r="C108" s="8" t="s">
        <v>116</v>
      </c>
      <c r="D108" s="9">
        <v>45114</v>
      </c>
      <c r="E108" s="8">
        <v>16</v>
      </c>
      <c r="F108" s="8" t="s">
        <v>143</v>
      </c>
      <c r="G108" s="8">
        <v>0.37291666666666662</v>
      </c>
      <c r="H108" s="8">
        <v>0.50902777777777775</v>
      </c>
      <c r="I108" s="11">
        <v>0</v>
      </c>
      <c r="J108" s="11">
        <v>7.6388888888888886E-3</v>
      </c>
      <c r="K108" s="10">
        <v>-3506</v>
      </c>
      <c r="L108" s="8">
        <v>0.20972222222222223</v>
      </c>
      <c r="M108" s="10">
        <v>131898</v>
      </c>
      <c r="N108" s="8">
        <v>0.24097222222222223</v>
      </c>
      <c r="O108" s="8">
        <v>62</v>
      </c>
      <c r="P108" s="8">
        <v>274945</v>
      </c>
      <c r="Q108" s="8">
        <f>YEAR(Table13[[#This Row],[release_date]])</f>
        <v>2023</v>
      </c>
      <c r="R108" s="8">
        <f>ROUND(Table13[[#This Row],[duration_ms]]/60000,2)</f>
        <v>4.58</v>
      </c>
      <c r="S108" s="8" t="str">
        <f>IF(Table13[[#This Row],[valence]]&gt;=0.6, "Happy", IF(Table13[[#This Row],[valence]]&gt;=0.4, "Neutral", "Sad"))</f>
        <v>Sad</v>
      </c>
      <c r="T108" s="8" t="str">
        <f>IF(Table13[[#This Row],[energy]]&gt;=0.7, "High Energy", IF(Table13[[#This Row],[energy]]&gt;=0.4, "Medium Energy", "Low Energy"))</f>
        <v>Medium Energy</v>
      </c>
      <c r="U108" s="17" t="str">
        <f>IF(Table13[[#This Row],[popularity]]&gt;70, "Popular", IF(Table13[[#This Row],[popularity]]&lt;40, "Less Popular", "Mid"))</f>
        <v>Mid</v>
      </c>
    </row>
    <row r="109" spans="2:21" x14ac:dyDescent="0.3">
      <c r="B109" s="8" t="s">
        <v>144</v>
      </c>
      <c r="C109" s="8" t="s">
        <v>116</v>
      </c>
      <c r="D109" s="9">
        <v>45114</v>
      </c>
      <c r="E109" s="8">
        <v>17</v>
      </c>
      <c r="F109" s="8" t="s">
        <v>145</v>
      </c>
      <c r="G109" s="8">
        <v>0.37986111111111115</v>
      </c>
      <c r="H109" s="8">
        <v>0.59305555555555556</v>
      </c>
      <c r="I109" s="11">
        <v>0</v>
      </c>
      <c r="J109" s="8">
        <v>0.10833333333333334</v>
      </c>
      <c r="K109" s="10">
        <v>-4753</v>
      </c>
      <c r="L109" s="8">
        <v>0.36527777777777781</v>
      </c>
      <c r="M109" s="10">
        <v>131068</v>
      </c>
      <c r="N109" s="11">
        <v>1.8055555555555557E-2</v>
      </c>
      <c r="O109" s="8">
        <v>68</v>
      </c>
      <c r="P109" s="8">
        <v>266466</v>
      </c>
      <c r="Q109" s="8">
        <f>YEAR(Table13[[#This Row],[release_date]])</f>
        <v>2023</v>
      </c>
      <c r="R109" s="8">
        <f>ROUND(Table13[[#This Row],[duration_ms]]/60000,2)</f>
        <v>4.4400000000000004</v>
      </c>
      <c r="S109" s="8" t="str">
        <f>IF(Table13[[#This Row],[valence]]&gt;=0.6, "Happy", IF(Table13[[#This Row],[valence]]&gt;=0.4, "Neutral", "Sad"))</f>
        <v>Sad</v>
      </c>
      <c r="T109" s="8" t="str">
        <f>IF(Table13[[#This Row],[energy]]&gt;=0.7, "High Energy", IF(Table13[[#This Row],[energy]]&gt;=0.4, "Medium Energy", "Low Energy"))</f>
        <v>Medium Energy</v>
      </c>
      <c r="U109" s="17" t="str">
        <f>IF(Table13[[#This Row],[popularity]]&gt;70, "Popular", IF(Table13[[#This Row],[popularity]]&lt;40, "Less Popular", "Mid"))</f>
        <v>Mid</v>
      </c>
    </row>
    <row r="110" spans="2:21" x14ac:dyDescent="0.3">
      <c r="B110" s="8" t="s">
        <v>146</v>
      </c>
      <c r="C110" s="8" t="s">
        <v>116</v>
      </c>
      <c r="D110" s="9">
        <v>45114</v>
      </c>
      <c r="E110" s="8">
        <v>18</v>
      </c>
      <c r="F110" s="8">
        <v>0.11666666666666665</v>
      </c>
      <c r="G110" s="8">
        <v>0.36388888888888887</v>
      </c>
      <c r="H110" s="8">
        <v>0.52708333333333335</v>
      </c>
      <c r="I110" s="11">
        <v>0</v>
      </c>
      <c r="J110" s="8">
        <v>7.2222222222222229E-2</v>
      </c>
      <c r="K110" s="10">
        <v>-4714</v>
      </c>
      <c r="L110" s="8">
        <v>0.32708333333333334</v>
      </c>
      <c r="M110" s="10">
        <v>77879</v>
      </c>
      <c r="N110" s="8">
        <v>0.16250000000000001</v>
      </c>
      <c r="O110" s="8">
        <v>66</v>
      </c>
      <c r="P110" s="8">
        <v>252385</v>
      </c>
      <c r="Q110" s="8">
        <f>YEAR(Table13[[#This Row],[release_date]])</f>
        <v>2023</v>
      </c>
      <c r="R110" s="8">
        <f>ROUND(Table13[[#This Row],[duration_ms]]/60000,2)</f>
        <v>4.21</v>
      </c>
      <c r="S110" s="8" t="str">
        <f>IF(Table13[[#This Row],[valence]]&gt;=0.6, "Happy", IF(Table13[[#This Row],[valence]]&gt;=0.4, "Neutral", "Sad"))</f>
        <v>Sad</v>
      </c>
      <c r="T110" s="8" t="str">
        <f>IF(Table13[[#This Row],[energy]]&gt;=0.7, "High Energy", IF(Table13[[#This Row],[energy]]&gt;=0.4, "Medium Energy", "Low Energy"))</f>
        <v>Medium Energy</v>
      </c>
      <c r="U110" s="17" t="str">
        <f>IF(Table13[[#This Row],[popularity]]&gt;70, "Popular", IF(Table13[[#This Row],[popularity]]&lt;40, "Less Popular", "Mid"))</f>
        <v>Mid</v>
      </c>
    </row>
    <row r="111" spans="2:21" x14ac:dyDescent="0.3">
      <c r="B111" s="8" t="s">
        <v>147</v>
      </c>
      <c r="C111" s="8" t="s">
        <v>116</v>
      </c>
      <c r="D111" s="9">
        <v>45114</v>
      </c>
      <c r="E111" s="8">
        <v>19</v>
      </c>
      <c r="F111" s="8">
        <v>0.40069444444444446</v>
      </c>
      <c r="G111" s="8">
        <v>0.4826388888888889</v>
      </c>
      <c r="H111" s="8">
        <v>0.53333333333333333</v>
      </c>
      <c r="I111" s="11">
        <v>0</v>
      </c>
      <c r="J111" s="8">
        <v>0.29583333333333334</v>
      </c>
      <c r="K111" s="10">
        <v>-4883</v>
      </c>
      <c r="L111" s="8">
        <v>0.2388888888888889</v>
      </c>
      <c r="M111" s="10">
        <v>123054</v>
      </c>
      <c r="N111" s="8">
        <v>0.56458333333333333</v>
      </c>
      <c r="O111" s="8">
        <v>75</v>
      </c>
      <c r="P111" s="8">
        <v>273186</v>
      </c>
      <c r="Q111" s="8">
        <f>YEAR(Table13[[#This Row],[release_date]])</f>
        <v>2023</v>
      </c>
      <c r="R111" s="8">
        <f>ROUND(Table13[[#This Row],[duration_ms]]/60000,2)</f>
        <v>4.55</v>
      </c>
      <c r="S111" s="8" t="str">
        <f>IF(Table13[[#This Row],[valence]]&gt;=0.6, "Happy", IF(Table13[[#This Row],[valence]]&gt;=0.4, "Neutral", "Sad"))</f>
        <v>Neutral</v>
      </c>
      <c r="T111" s="8" t="str">
        <f>IF(Table13[[#This Row],[energy]]&gt;=0.7, "High Energy", IF(Table13[[#This Row],[energy]]&gt;=0.4, "Medium Energy", "Low Energy"))</f>
        <v>Medium Energy</v>
      </c>
      <c r="U111" s="17" t="str">
        <f>IF(Table13[[#This Row],[popularity]]&gt;70, "Popular", IF(Table13[[#This Row],[popularity]]&lt;40, "Less Popular", "Mid"))</f>
        <v>Popular</v>
      </c>
    </row>
    <row r="112" spans="2:21" x14ac:dyDescent="0.3">
      <c r="B112" s="8" t="s">
        <v>148</v>
      </c>
      <c r="C112" s="8" t="s">
        <v>116</v>
      </c>
      <c r="D112" s="9">
        <v>45114</v>
      </c>
      <c r="E112" s="8">
        <v>20</v>
      </c>
      <c r="F112" s="8">
        <v>0.23750000000000002</v>
      </c>
      <c r="G112" s="8">
        <v>0.40138888888888885</v>
      </c>
      <c r="H112" s="8">
        <v>0.3923611111111111</v>
      </c>
      <c r="I112" s="11">
        <v>0</v>
      </c>
      <c r="J112" s="8">
        <v>0.4597222222222222</v>
      </c>
      <c r="K112" s="10">
        <v>-8064</v>
      </c>
      <c r="L112" s="8">
        <v>0.30624999999999997</v>
      </c>
      <c r="M112" s="10">
        <v>147781</v>
      </c>
      <c r="N112" s="8">
        <v>0.24374999999999999</v>
      </c>
      <c r="O112" s="8">
        <v>67</v>
      </c>
      <c r="P112" s="8">
        <v>306062</v>
      </c>
      <c r="Q112" s="8">
        <f>YEAR(Table13[[#This Row],[release_date]])</f>
        <v>2023</v>
      </c>
      <c r="R112" s="8">
        <f>ROUND(Table13[[#This Row],[duration_ms]]/60000,2)</f>
        <v>5.0999999999999996</v>
      </c>
      <c r="S112" s="8" t="str">
        <f>IF(Table13[[#This Row],[valence]]&gt;=0.6, "Happy", IF(Table13[[#This Row],[valence]]&gt;=0.4, "Neutral", "Sad"))</f>
        <v>Sad</v>
      </c>
      <c r="T112" s="8" t="str">
        <f>IF(Table13[[#This Row],[energy]]&gt;=0.7, "High Energy", IF(Table13[[#This Row],[energy]]&gt;=0.4, "Medium Energy", "Low Energy"))</f>
        <v>Low Energy</v>
      </c>
      <c r="U112" s="17" t="str">
        <f>IF(Table13[[#This Row],[popularity]]&gt;70, "Popular", IF(Table13[[#This Row],[popularity]]&lt;40, "Less Popular", "Mid"))</f>
        <v>Mid</v>
      </c>
    </row>
    <row r="113" spans="2:21" x14ac:dyDescent="0.3">
      <c r="B113" s="8" t="s">
        <v>149</v>
      </c>
      <c r="C113" s="8" t="s">
        <v>116</v>
      </c>
      <c r="D113" s="9">
        <v>45114</v>
      </c>
      <c r="E113" s="8">
        <v>21</v>
      </c>
      <c r="F113" s="8">
        <v>0.41597222222222219</v>
      </c>
      <c r="G113" s="8">
        <v>0.46666666666666662</v>
      </c>
      <c r="H113" s="8">
        <v>0.42569444444444443</v>
      </c>
      <c r="I113" s="11">
        <v>0</v>
      </c>
      <c r="J113" s="8">
        <v>7.7777777777777779E-2</v>
      </c>
      <c r="K113" s="10">
        <v>-4709</v>
      </c>
      <c r="L113" s="8">
        <v>0.20694444444444446</v>
      </c>
      <c r="M113" s="10">
        <v>97041</v>
      </c>
      <c r="N113" s="8">
        <v>0.38680555555555557</v>
      </c>
      <c r="O113" s="8">
        <v>68</v>
      </c>
      <c r="P113" s="8">
        <v>311765</v>
      </c>
      <c r="Q113" s="8">
        <f>YEAR(Table13[[#This Row],[release_date]])</f>
        <v>2023</v>
      </c>
      <c r="R113" s="8">
        <f>ROUND(Table13[[#This Row],[duration_ms]]/60000,2)</f>
        <v>5.2</v>
      </c>
      <c r="S113" s="8" t="str">
        <f>IF(Table13[[#This Row],[valence]]&gt;=0.6, "Happy", IF(Table13[[#This Row],[valence]]&gt;=0.4, "Neutral", "Sad"))</f>
        <v>Sad</v>
      </c>
      <c r="T113" s="8" t="str">
        <f>IF(Table13[[#This Row],[energy]]&gt;=0.7, "High Energy", IF(Table13[[#This Row],[energy]]&gt;=0.4, "Medium Energy", "Low Energy"))</f>
        <v>Medium Energy</v>
      </c>
      <c r="U113" s="17" t="str">
        <f>IF(Table13[[#This Row],[popularity]]&gt;70, "Popular", IF(Table13[[#This Row],[popularity]]&lt;40, "Less Popular", "Mid"))</f>
        <v>Mid</v>
      </c>
    </row>
    <row r="114" spans="2:21" x14ac:dyDescent="0.3">
      <c r="B114" s="8" t="s">
        <v>150</v>
      </c>
      <c r="C114" s="8" t="s">
        <v>116</v>
      </c>
      <c r="D114" s="9">
        <v>45114</v>
      </c>
      <c r="E114" s="8">
        <v>22</v>
      </c>
      <c r="F114" s="8">
        <v>0.23055555555555554</v>
      </c>
      <c r="G114" s="8">
        <v>0.4368055555555555</v>
      </c>
      <c r="H114" s="8">
        <v>0.40138888888888885</v>
      </c>
      <c r="I114" s="11">
        <v>0</v>
      </c>
      <c r="J114" s="8">
        <v>0.60277777777777775</v>
      </c>
      <c r="K114" s="10">
        <v>-5806</v>
      </c>
      <c r="L114" s="8">
        <v>0.22152777777777777</v>
      </c>
      <c r="M114" s="10">
        <v>142887</v>
      </c>
      <c r="N114" s="8">
        <v>0.45208333333333334</v>
      </c>
      <c r="O114" s="8">
        <v>69</v>
      </c>
      <c r="P114" s="8">
        <v>321396</v>
      </c>
      <c r="Q114" s="8">
        <f>YEAR(Table13[[#This Row],[release_date]])</f>
        <v>2023</v>
      </c>
      <c r="R114" s="8">
        <f>ROUND(Table13[[#This Row],[duration_ms]]/60000,2)</f>
        <v>5.36</v>
      </c>
      <c r="S114" s="8" t="str">
        <f>IF(Table13[[#This Row],[valence]]&gt;=0.6, "Happy", IF(Table13[[#This Row],[valence]]&gt;=0.4, "Neutral", "Sad"))</f>
        <v>Neutral</v>
      </c>
      <c r="T114" s="8" t="str">
        <f>IF(Table13[[#This Row],[energy]]&gt;=0.7, "High Energy", IF(Table13[[#This Row],[energy]]&gt;=0.4, "Medium Energy", "Low Energy"))</f>
        <v>Medium Energy</v>
      </c>
      <c r="U114" s="17" t="str">
        <f>IF(Table13[[#This Row],[popularity]]&gt;70, "Popular", IF(Table13[[#This Row],[popularity]]&lt;40, "Less Popular", "Mid"))</f>
        <v>Mid</v>
      </c>
    </row>
    <row r="115" spans="2:21" x14ac:dyDescent="0.3">
      <c r="B115" s="8" t="s">
        <v>151</v>
      </c>
      <c r="C115" s="8" t="s">
        <v>152</v>
      </c>
      <c r="D115" s="9">
        <v>45072</v>
      </c>
      <c r="E115" s="8">
        <v>1</v>
      </c>
      <c r="F115" s="11">
        <v>1.5972222222222224E-2</v>
      </c>
      <c r="G115" s="8">
        <v>0.51041666666666663</v>
      </c>
      <c r="H115" s="8">
        <v>0.31180555555555556</v>
      </c>
      <c r="I115" s="8" t="s">
        <v>153</v>
      </c>
      <c r="J115" s="8">
        <v>9.1666666666666674E-2</v>
      </c>
      <c r="K115" s="8" t="s">
        <v>154</v>
      </c>
      <c r="L115" s="8">
        <v>0.61319444444444449</v>
      </c>
      <c r="M115" s="14">
        <v>4.0451388888888884</v>
      </c>
      <c r="N115" s="8">
        <v>0.66319444444444442</v>
      </c>
      <c r="O115" s="8">
        <v>63</v>
      </c>
      <c r="P115" s="8">
        <v>202395</v>
      </c>
      <c r="Q115" s="8">
        <f>YEAR(Table13[[#This Row],[release_date]])</f>
        <v>2023</v>
      </c>
      <c r="R115" s="8">
        <f>ROUND(Table13[[#This Row],[duration_ms]]/60000,2)</f>
        <v>3.37</v>
      </c>
      <c r="S115" s="8" t="str">
        <f>IF(Table13[[#This Row],[valence]]&gt;=0.6, "Happy", IF(Table13[[#This Row],[valence]]&gt;=0.4, "Neutral", "Sad"))</f>
        <v>Happy</v>
      </c>
      <c r="T115" s="8" t="str">
        <f>IF(Table13[[#This Row],[energy]]&gt;=0.7, "High Energy", IF(Table13[[#This Row],[energy]]&gt;=0.4, "Medium Energy", "Low Energy"))</f>
        <v>Low Energy</v>
      </c>
      <c r="U115" s="17" t="str">
        <f>IF(Table13[[#This Row],[popularity]]&gt;70, "Popular", IF(Table13[[#This Row],[popularity]]&lt;40, "Less Popular", "Mid"))</f>
        <v>Mid</v>
      </c>
    </row>
    <row r="116" spans="2:21" x14ac:dyDescent="0.3">
      <c r="B116" s="8" t="s">
        <v>155</v>
      </c>
      <c r="C116" s="8" t="s">
        <v>152</v>
      </c>
      <c r="D116" s="9">
        <v>45072</v>
      </c>
      <c r="E116" s="8">
        <v>2</v>
      </c>
      <c r="F116" s="8">
        <v>0.44027777777777777</v>
      </c>
      <c r="G116" s="8">
        <v>0.4548611111111111</v>
      </c>
      <c r="H116" s="8">
        <v>0.26666666666666666</v>
      </c>
      <c r="I116" s="8" t="s">
        <v>156</v>
      </c>
      <c r="J116" s="8">
        <v>0.67569444444444438</v>
      </c>
      <c r="K116" s="8" t="s">
        <v>157</v>
      </c>
      <c r="L116" s="8">
        <v>0.24236111111111111</v>
      </c>
      <c r="M116" s="10">
        <v>108058</v>
      </c>
      <c r="N116" s="8">
        <v>0.26666666666666666</v>
      </c>
      <c r="O116" s="8">
        <v>64</v>
      </c>
      <c r="P116" s="8">
        <v>218270</v>
      </c>
      <c r="Q116" s="8">
        <f>YEAR(Table13[[#This Row],[release_date]])</f>
        <v>2023</v>
      </c>
      <c r="R116" s="8">
        <f>ROUND(Table13[[#This Row],[duration_ms]]/60000,2)</f>
        <v>3.64</v>
      </c>
      <c r="S116" s="8" t="str">
        <f>IF(Table13[[#This Row],[valence]]&gt;=0.6, "Happy", IF(Table13[[#This Row],[valence]]&gt;=0.4, "Neutral", "Sad"))</f>
        <v>Sad</v>
      </c>
      <c r="T116" s="8" t="str">
        <f>IF(Table13[[#This Row],[energy]]&gt;=0.7, "High Energy", IF(Table13[[#This Row],[energy]]&gt;=0.4, "Medium Energy", "Low Energy"))</f>
        <v>Low Energy</v>
      </c>
      <c r="U116" s="17" t="str">
        <f>IF(Table13[[#This Row],[popularity]]&gt;70, "Popular", IF(Table13[[#This Row],[popularity]]&lt;40, "Less Popular", "Mid"))</f>
        <v>Mid</v>
      </c>
    </row>
    <row r="117" spans="2:21" x14ac:dyDescent="0.3">
      <c r="B117" s="8" t="s">
        <v>158</v>
      </c>
      <c r="C117" s="8" t="s">
        <v>152</v>
      </c>
      <c r="D117" s="9">
        <v>45072</v>
      </c>
      <c r="E117" s="8">
        <v>3</v>
      </c>
      <c r="F117" s="8">
        <v>8.4027777777777771E-2</v>
      </c>
      <c r="G117" s="8">
        <v>0.43958333333333338</v>
      </c>
      <c r="H117" s="8">
        <v>0.45</v>
      </c>
      <c r="I117" s="8" t="s">
        <v>159</v>
      </c>
      <c r="J117" s="8">
        <v>0.11180555555555555</v>
      </c>
      <c r="K117" s="10">
        <v>-6645</v>
      </c>
      <c r="L117" s="8" t="s">
        <v>160</v>
      </c>
      <c r="M117" s="10">
        <v>96888</v>
      </c>
      <c r="N117" s="11">
        <v>3.4027777777777775E-2</v>
      </c>
      <c r="O117" s="8">
        <v>63</v>
      </c>
      <c r="P117" s="8">
        <v>200690</v>
      </c>
      <c r="Q117" s="8">
        <f>YEAR(Table13[[#This Row],[release_date]])</f>
        <v>2023</v>
      </c>
      <c r="R117" s="8">
        <f>ROUND(Table13[[#This Row],[duration_ms]]/60000,2)</f>
        <v>3.34</v>
      </c>
      <c r="S117" s="8" t="str">
        <f>IF(Table13[[#This Row],[valence]]&gt;=0.6, "Happy", IF(Table13[[#This Row],[valence]]&gt;=0.4, "Neutral", "Sad"))</f>
        <v>Sad</v>
      </c>
      <c r="T117" s="8" t="str">
        <f>IF(Table13[[#This Row],[energy]]&gt;=0.7, "High Energy", IF(Table13[[#This Row],[energy]]&gt;=0.4, "Medium Energy", "Low Energy"))</f>
        <v>Medium Energy</v>
      </c>
      <c r="U117" s="17" t="str">
        <f>IF(Table13[[#This Row],[popularity]]&gt;70, "Popular", IF(Table13[[#This Row],[popularity]]&lt;40, "Less Popular", "Mid"))</f>
        <v>Mid</v>
      </c>
    </row>
    <row r="118" spans="2:21" x14ac:dyDescent="0.3">
      <c r="B118" s="8" t="s">
        <v>161</v>
      </c>
      <c r="C118" s="8" t="s">
        <v>152</v>
      </c>
      <c r="D118" s="9">
        <v>45072</v>
      </c>
      <c r="E118" s="8">
        <v>4</v>
      </c>
      <c r="F118" s="8">
        <v>0.48680555555555555</v>
      </c>
      <c r="G118" s="8">
        <v>0.4604166666666667</v>
      </c>
      <c r="H118" s="8">
        <v>0.22291666666666665</v>
      </c>
      <c r="I118" s="8" t="s">
        <v>162</v>
      </c>
      <c r="J118" s="8">
        <v>7.4305555555555555E-2</v>
      </c>
      <c r="K118" s="10">
        <v>-13527</v>
      </c>
      <c r="L118" s="8">
        <v>0.28402777777777777</v>
      </c>
      <c r="M118" s="10">
        <v>110021</v>
      </c>
      <c r="N118" s="8">
        <v>0.10625</v>
      </c>
      <c r="O118" s="8">
        <v>60</v>
      </c>
      <c r="P118" s="8">
        <v>256124</v>
      </c>
      <c r="Q118" s="8">
        <f>YEAR(Table13[[#This Row],[release_date]])</f>
        <v>2023</v>
      </c>
      <c r="R118" s="8">
        <f>ROUND(Table13[[#This Row],[duration_ms]]/60000,2)</f>
        <v>4.2699999999999996</v>
      </c>
      <c r="S118" s="8" t="str">
        <f>IF(Table13[[#This Row],[valence]]&gt;=0.6, "Happy", IF(Table13[[#This Row],[valence]]&gt;=0.4, "Neutral", "Sad"))</f>
        <v>Sad</v>
      </c>
      <c r="T118" s="8" t="str">
        <f>IF(Table13[[#This Row],[energy]]&gt;=0.7, "High Energy", IF(Table13[[#This Row],[energy]]&gt;=0.4, "Medium Energy", "Low Energy"))</f>
        <v>Low Energy</v>
      </c>
      <c r="U118" s="17" t="str">
        <f>IF(Table13[[#This Row],[popularity]]&gt;70, "Popular", IF(Table13[[#This Row],[popularity]]&lt;40, "Less Popular", "Mid"))</f>
        <v>Mid</v>
      </c>
    </row>
    <row r="119" spans="2:21" x14ac:dyDescent="0.3">
      <c r="B119" s="8" t="s">
        <v>163</v>
      </c>
      <c r="C119" s="8" t="s">
        <v>152</v>
      </c>
      <c r="D119" s="9">
        <v>45072</v>
      </c>
      <c r="E119" s="8">
        <v>5</v>
      </c>
      <c r="F119" s="8">
        <v>0.31041666666666667</v>
      </c>
      <c r="G119" s="8">
        <v>0.48333333333333334</v>
      </c>
      <c r="H119" s="11">
        <v>2.7083333333333334E-2</v>
      </c>
      <c r="I119" s="8" t="s">
        <v>164</v>
      </c>
      <c r="J119" s="8">
        <v>8.6805555555555566E-2</v>
      </c>
      <c r="K119" s="10">
        <v>-10331</v>
      </c>
      <c r="L119" s="8">
        <v>0.42777777777777781</v>
      </c>
      <c r="M119" s="10">
        <v>120032</v>
      </c>
      <c r="N119" s="8">
        <v>0.27430555555555552</v>
      </c>
      <c r="O119" s="8">
        <v>64</v>
      </c>
      <c r="P119" s="8">
        <v>194206</v>
      </c>
      <c r="Q119" s="8">
        <f>YEAR(Table13[[#This Row],[release_date]])</f>
        <v>2023</v>
      </c>
      <c r="R119" s="8">
        <f>ROUND(Table13[[#This Row],[duration_ms]]/60000,2)</f>
        <v>3.24</v>
      </c>
      <c r="S119" s="8" t="str">
        <f>IF(Table13[[#This Row],[valence]]&gt;=0.6, "Happy", IF(Table13[[#This Row],[valence]]&gt;=0.4, "Neutral", "Sad"))</f>
        <v>Sad</v>
      </c>
      <c r="T119" s="8" t="str">
        <f>IF(Table13[[#This Row],[energy]]&gt;=0.7, "High Energy", IF(Table13[[#This Row],[energy]]&gt;=0.4, "Medium Energy", "Low Energy"))</f>
        <v>Low Energy</v>
      </c>
      <c r="U119" s="17" t="str">
        <f>IF(Table13[[#This Row],[popularity]]&gt;70, "Popular", IF(Table13[[#This Row],[popularity]]&lt;40, "Less Popular", "Mid"))</f>
        <v>Mid</v>
      </c>
    </row>
    <row r="120" spans="2:21" x14ac:dyDescent="0.3">
      <c r="B120" s="8" t="s">
        <v>165</v>
      </c>
      <c r="C120" s="8" t="s">
        <v>152</v>
      </c>
      <c r="D120" s="9">
        <v>45072</v>
      </c>
      <c r="E120" s="8">
        <v>6</v>
      </c>
      <c r="F120" s="8">
        <v>4.9305555555555554E-2</v>
      </c>
      <c r="G120" s="8">
        <v>0.41944444444444445</v>
      </c>
      <c r="H120" s="8">
        <v>0.26041666666666669</v>
      </c>
      <c r="I120" s="8" t="s">
        <v>166</v>
      </c>
      <c r="J120" s="8">
        <v>8.0555555555555561E-2</v>
      </c>
      <c r="K120" s="10">
        <v>-11637</v>
      </c>
      <c r="L120" s="8">
        <v>0.43958333333333338</v>
      </c>
      <c r="M120" s="10">
        <v>137651</v>
      </c>
      <c r="N120" s="8">
        <v>0.14097222222222222</v>
      </c>
      <c r="O120" s="8">
        <v>63</v>
      </c>
      <c r="P120" s="8">
        <v>174782</v>
      </c>
      <c r="Q120" s="8">
        <f>YEAR(Table13[[#This Row],[release_date]])</f>
        <v>2023</v>
      </c>
      <c r="R120" s="8">
        <f>ROUND(Table13[[#This Row],[duration_ms]]/60000,2)</f>
        <v>2.91</v>
      </c>
      <c r="S120" s="8" t="str">
        <f>IF(Table13[[#This Row],[valence]]&gt;=0.6, "Happy", IF(Table13[[#This Row],[valence]]&gt;=0.4, "Neutral", "Sad"))</f>
        <v>Sad</v>
      </c>
      <c r="T120" s="8" t="str">
        <f>IF(Table13[[#This Row],[energy]]&gt;=0.7, "High Energy", IF(Table13[[#This Row],[energy]]&gt;=0.4, "Medium Energy", "Low Energy"))</f>
        <v>Low Energy</v>
      </c>
      <c r="U120" s="17" t="str">
        <f>IF(Table13[[#This Row],[popularity]]&gt;70, "Popular", IF(Table13[[#This Row],[popularity]]&lt;40, "Less Popular", "Mid"))</f>
        <v>Mid</v>
      </c>
    </row>
    <row r="121" spans="2:21" x14ac:dyDescent="0.3">
      <c r="B121" s="8" t="s">
        <v>167</v>
      </c>
      <c r="C121" s="8" t="s">
        <v>152</v>
      </c>
      <c r="D121" s="9">
        <v>45072</v>
      </c>
      <c r="E121" s="8">
        <v>7</v>
      </c>
      <c r="F121" s="8">
        <v>0.14305555555555555</v>
      </c>
      <c r="G121" s="8">
        <v>0.45416666666666666</v>
      </c>
      <c r="H121" s="11">
        <v>3.5416666666666666E-2</v>
      </c>
      <c r="I121" s="11">
        <v>0</v>
      </c>
      <c r="J121" s="8">
        <v>0.17291666666666669</v>
      </c>
      <c r="K121" s="10">
        <v>-8767</v>
      </c>
      <c r="L121" s="8">
        <v>0.16805555555555554</v>
      </c>
      <c r="M121" s="10">
        <v>108874</v>
      </c>
      <c r="N121" s="8">
        <v>7.2916666666666671E-2</v>
      </c>
      <c r="O121" s="8">
        <v>61</v>
      </c>
      <c r="P121" s="8">
        <v>210556</v>
      </c>
      <c r="Q121" s="8">
        <f>YEAR(Table13[[#This Row],[release_date]])</f>
        <v>2023</v>
      </c>
      <c r="R121" s="8">
        <f>ROUND(Table13[[#This Row],[duration_ms]]/60000,2)</f>
        <v>3.51</v>
      </c>
      <c r="S121" s="8" t="str">
        <f>IF(Table13[[#This Row],[valence]]&gt;=0.6, "Happy", IF(Table13[[#This Row],[valence]]&gt;=0.4, "Neutral", "Sad"))</f>
        <v>Sad</v>
      </c>
      <c r="T121" s="8" t="str">
        <f>IF(Table13[[#This Row],[energy]]&gt;=0.7, "High Energy", IF(Table13[[#This Row],[energy]]&gt;=0.4, "Medium Energy", "Low Energy"))</f>
        <v>Low Energy</v>
      </c>
      <c r="U121" s="17" t="str">
        <f>IF(Table13[[#This Row],[popularity]]&gt;70, "Popular", IF(Table13[[#This Row],[popularity]]&lt;40, "Less Popular", "Mid"))</f>
        <v>Mid</v>
      </c>
    </row>
    <row r="122" spans="2:21" x14ac:dyDescent="0.3">
      <c r="B122" s="8" t="s">
        <v>168</v>
      </c>
      <c r="C122" s="8" t="s">
        <v>152</v>
      </c>
      <c r="D122" s="9">
        <v>45072</v>
      </c>
      <c r="E122" s="8">
        <v>8</v>
      </c>
      <c r="F122" s="8">
        <v>0.11527777777777777</v>
      </c>
      <c r="G122" s="8">
        <v>0.60555555555555551</v>
      </c>
      <c r="H122" s="8">
        <v>0.18541666666666667</v>
      </c>
      <c r="I122" s="8" t="s">
        <v>169</v>
      </c>
      <c r="J122" s="8">
        <v>8.5416666666666655E-2</v>
      </c>
      <c r="K122" s="10">
        <v>-10764</v>
      </c>
      <c r="L122" s="8">
        <v>0.26874999999999999</v>
      </c>
      <c r="M122" s="10">
        <v>79964</v>
      </c>
      <c r="N122" s="8">
        <v>0.11666666666666665</v>
      </c>
      <c r="O122" s="8">
        <v>62</v>
      </c>
      <c r="P122" s="8">
        <v>164801</v>
      </c>
      <c r="Q122" s="8">
        <f>YEAR(Table13[[#This Row],[release_date]])</f>
        <v>2023</v>
      </c>
      <c r="R122" s="8">
        <f>ROUND(Table13[[#This Row],[duration_ms]]/60000,2)</f>
        <v>2.75</v>
      </c>
      <c r="S122" s="8" t="str">
        <f>IF(Table13[[#This Row],[valence]]&gt;=0.6, "Happy", IF(Table13[[#This Row],[valence]]&gt;=0.4, "Neutral", "Sad"))</f>
        <v>Sad</v>
      </c>
      <c r="T122" s="8" t="str">
        <f>IF(Table13[[#This Row],[energy]]&gt;=0.7, "High Energy", IF(Table13[[#This Row],[energy]]&gt;=0.4, "Medium Energy", "Low Energy"))</f>
        <v>Low Energy</v>
      </c>
      <c r="U122" s="17" t="str">
        <f>IF(Table13[[#This Row],[popularity]]&gt;70, "Popular", IF(Table13[[#This Row],[popularity]]&lt;40, "Less Popular", "Mid"))</f>
        <v>Mid</v>
      </c>
    </row>
    <row r="123" spans="2:21" x14ac:dyDescent="0.3">
      <c r="B123" s="8" t="s">
        <v>170</v>
      </c>
      <c r="C123" s="8" t="s">
        <v>152</v>
      </c>
      <c r="D123" s="9">
        <v>45072</v>
      </c>
      <c r="E123" s="8">
        <v>9</v>
      </c>
      <c r="F123" s="8">
        <v>0.41180555555555554</v>
      </c>
      <c r="G123" s="8">
        <v>0.4770833333333333</v>
      </c>
      <c r="H123" s="8">
        <v>0.38263888888888892</v>
      </c>
      <c r="I123" s="8" t="s">
        <v>171</v>
      </c>
      <c r="J123" s="11">
        <v>6.2499999999999995E-3</v>
      </c>
      <c r="K123" s="10">
        <v>-9202</v>
      </c>
      <c r="L123" s="8">
        <v>0.54652777777777783</v>
      </c>
      <c r="M123" s="10">
        <v>163994</v>
      </c>
      <c r="N123" s="8">
        <v>0.30763888888888891</v>
      </c>
      <c r="O123" s="8">
        <v>63</v>
      </c>
      <c r="P123" s="8">
        <v>194165</v>
      </c>
      <c r="Q123" s="8">
        <f>YEAR(Table13[[#This Row],[release_date]])</f>
        <v>2023</v>
      </c>
      <c r="R123" s="8">
        <f>ROUND(Table13[[#This Row],[duration_ms]]/60000,2)</f>
        <v>3.24</v>
      </c>
      <c r="S123" s="8" t="str">
        <f>IF(Table13[[#This Row],[valence]]&gt;=0.6, "Happy", IF(Table13[[#This Row],[valence]]&gt;=0.4, "Neutral", "Sad"))</f>
        <v>Sad</v>
      </c>
      <c r="T123" s="8" t="str">
        <f>IF(Table13[[#This Row],[energy]]&gt;=0.7, "High Energy", IF(Table13[[#This Row],[energy]]&gt;=0.4, "Medium Energy", "Low Energy"))</f>
        <v>Low Energy</v>
      </c>
      <c r="U123" s="17" t="str">
        <f>IF(Table13[[#This Row],[popularity]]&gt;70, "Popular", IF(Table13[[#This Row],[popularity]]&lt;40, "Less Popular", "Mid"))</f>
        <v>Mid</v>
      </c>
    </row>
    <row r="124" spans="2:21" x14ac:dyDescent="0.3">
      <c r="B124" s="8" t="s">
        <v>172</v>
      </c>
      <c r="C124" s="8" t="s">
        <v>152</v>
      </c>
      <c r="D124" s="9">
        <v>45072</v>
      </c>
      <c r="E124" s="8">
        <v>10</v>
      </c>
      <c r="F124" s="8">
        <v>0.55347222222222225</v>
      </c>
      <c r="G124" s="11">
        <v>3.3333333333333333E-2</v>
      </c>
      <c r="H124" s="8">
        <v>0.20486111111111113</v>
      </c>
      <c r="I124" s="8">
        <v>0.23124999999999998</v>
      </c>
      <c r="J124" s="11">
        <v>8.3333333333333332E-3</v>
      </c>
      <c r="K124" s="10">
        <v>-15512</v>
      </c>
      <c r="L124" s="8">
        <v>0.26666666666666666</v>
      </c>
      <c r="M124" s="10">
        <v>110018</v>
      </c>
      <c r="N124" s="8">
        <v>9.1666666666666674E-2</v>
      </c>
      <c r="O124" s="8">
        <v>61</v>
      </c>
      <c r="P124" s="8">
        <v>247962</v>
      </c>
      <c r="Q124" s="8">
        <f>YEAR(Table13[[#This Row],[release_date]])</f>
        <v>2023</v>
      </c>
      <c r="R124" s="8">
        <f>ROUND(Table13[[#This Row],[duration_ms]]/60000,2)</f>
        <v>4.13</v>
      </c>
      <c r="S124" s="8" t="str">
        <f>IF(Table13[[#This Row],[valence]]&gt;=0.6, "Happy", IF(Table13[[#This Row],[valence]]&gt;=0.4, "Neutral", "Sad"))</f>
        <v>Sad</v>
      </c>
      <c r="T124" s="8" t="str">
        <f>IF(Table13[[#This Row],[energy]]&gt;=0.7, "High Energy", IF(Table13[[#This Row],[energy]]&gt;=0.4, "Medium Energy", "Low Energy"))</f>
        <v>Low Energy</v>
      </c>
      <c r="U124" s="17" t="str">
        <f>IF(Table13[[#This Row],[popularity]]&gt;70, "Popular", IF(Table13[[#This Row],[popularity]]&lt;40, "Less Popular", "Mid"))</f>
        <v>Mid</v>
      </c>
    </row>
    <row r="125" spans="2:21" x14ac:dyDescent="0.3">
      <c r="B125" s="8" t="s">
        <v>173</v>
      </c>
      <c r="C125" s="8" t="s">
        <v>152</v>
      </c>
      <c r="D125" s="9">
        <v>45072</v>
      </c>
      <c r="E125" s="8">
        <v>11</v>
      </c>
      <c r="F125" s="8" t="s">
        <v>160</v>
      </c>
      <c r="G125" s="8">
        <v>4.4444444444444446E-2</v>
      </c>
      <c r="H125" s="8">
        <v>0.42986111111111108</v>
      </c>
      <c r="I125" s="11">
        <v>0</v>
      </c>
      <c r="J125" s="8">
        <v>0.3298611111111111</v>
      </c>
      <c r="K125" s="10">
        <v>-7108</v>
      </c>
      <c r="L125" s="8" t="s">
        <v>174</v>
      </c>
      <c r="M125" s="10">
        <v>90008</v>
      </c>
      <c r="N125" s="8">
        <v>8.4027777777777771E-2</v>
      </c>
      <c r="O125" s="8">
        <v>62</v>
      </c>
      <c r="P125" s="8">
        <v>204852</v>
      </c>
      <c r="Q125" s="8">
        <f>YEAR(Table13[[#This Row],[release_date]])</f>
        <v>2023</v>
      </c>
      <c r="R125" s="8">
        <f>ROUND(Table13[[#This Row],[duration_ms]]/60000,2)</f>
        <v>3.41</v>
      </c>
      <c r="S125" s="8" t="str">
        <f>IF(Table13[[#This Row],[valence]]&gt;=0.6, "Happy", IF(Table13[[#This Row],[valence]]&gt;=0.4, "Neutral", "Sad"))</f>
        <v>Sad</v>
      </c>
      <c r="T125" s="8" t="str">
        <f>IF(Table13[[#This Row],[energy]]&gt;=0.7, "High Energy", IF(Table13[[#This Row],[energy]]&gt;=0.4, "Medium Energy", "Low Energy"))</f>
        <v>Medium Energy</v>
      </c>
      <c r="U125" s="17" t="str">
        <f>IF(Table13[[#This Row],[popularity]]&gt;70, "Popular", IF(Table13[[#This Row],[popularity]]&lt;40, "Less Popular", "Mid"))</f>
        <v>Mid</v>
      </c>
    </row>
    <row r="126" spans="2:21" x14ac:dyDescent="0.3">
      <c r="B126" s="8" t="s">
        <v>175</v>
      </c>
      <c r="C126" s="8" t="s">
        <v>152</v>
      </c>
      <c r="D126" s="9">
        <v>45072</v>
      </c>
      <c r="E126" s="8">
        <v>12</v>
      </c>
      <c r="F126" s="8">
        <v>0.67222222222222217</v>
      </c>
      <c r="G126" s="8">
        <v>0.23333333333333331</v>
      </c>
      <c r="H126" s="8">
        <v>0.11180555555555555</v>
      </c>
      <c r="I126" s="8" t="s">
        <v>176</v>
      </c>
      <c r="J126" s="8">
        <v>7.9861111111111119E-2</v>
      </c>
      <c r="K126" s="10">
        <v>-14973</v>
      </c>
      <c r="L126" s="8">
        <v>0.31666666666666665</v>
      </c>
      <c r="M126" s="14">
        <v>7.3666666666666671</v>
      </c>
      <c r="N126" s="8">
        <v>0.28263888888888888</v>
      </c>
      <c r="O126" s="8">
        <v>60</v>
      </c>
      <c r="P126" s="8">
        <v>188496</v>
      </c>
      <c r="Q126" s="8">
        <f>YEAR(Table13[[#This Row],[release_date]])</f>
        <v>2023</v>
      </c>
      <c r="R126" s="8">
        <f>ROUND(Table13[[#This Row],[duration_ms]]/60000,2)</f>
        <v>3.14</v>
      </c>
      <c r="S126" s="8" t="str">
        <f>IF(Table13[[#This Row],[valence]]&gt;=0.6, "Happy", IF(Table13[[#This Row],[valence]]&gt;=0.4, "Neutral", "Sad"))</f>
        <v>Sad</v>
      </c>
      <c r="T126" s="8" t="str">
        <f>IF(Table13[[#This Row],[energy]]&gt;=0.7, "High Energy", IF(Table13[[#This Row],[energy]]&gt;=0.4, "Medium Energy", "Low Energy"))</f>
        <v>Low Energy</v>
      </c>
      <c r="U126" s="17" t="str">
        <f>IF(Table13[[#This Row],[popularity]]&gt;70, "Popular", IF(Table13[[#This Row],[popularity]]&lt;40, "Less Popular", "Mid"))</f>
        <v>Mid</v>
      </c>
    </row>
    <row r="127" spans="2:21" x14ac:dyDescent="0.3">
      <c r="B127" s="8" t="s">
        <v>177</v>
      </c>
      <c r="C127" s="8" t="s">
        <v>152</v>
      </c>
      <c r="D127" s="9">
        <v>45072</v>
      </c>
      <c r="E127" s="8">
        <v>13</v>
      </c>
      <c r="F127" s="8">
        <v>0.3923611111111111</v>
      </c>
      <c r="G127" s="8">
        <v>4.5833333333333337E-2</v>
      </c>
      <c r="H127" s="8">
        <v>0.23819444444444446</v>
      </c>
      <c r="I127" s="8" t="s">
        <v>178</v>
      </c>
      <c r="J127" s="8">
        <v>0.64027777777777783</v>
      </c>
      <c r="K127" s="10">
        <v>-14132</v>
      </c>
      <c r="L127" s="11">
        <v>9.7222222222222224E-3</v>
      </c>
      <c r="M127" s="8" t="s">
        <v>179</v>
      </c>
      <c r="N127" s="8">
        <v>9.5138888888888884E-2</v>
      </c>
      <c r="O127" s="8">
        <v>61</v>
      </c>
      <c r="P127" s="8">
        <v>191039</v>
      </c>
      <c r="Q127" s="8">
        <f>YEAR(Table13[[#This Row],[release_date]])</f>
        <v>2023</v>
      </c>
      <c r="R127" s="8">
        <f>ROUND(Table13[[#This Row],[duration_ms]]/60000,2)</f>
        <v>3.18</v>
      </c>
      <c r="S127" s="8" t="str">
        <f>IF(Table13[[#This Row],[valence]]&gt;=0.6, "Happy", IF(Table13[[#This Row],[valence]]&gt;=0.4, "Neutral", "Sad"))</f>
        <v>Sad</v>
      </c>
      <c r="T127" s="8" t="str">
        <f>IF(Table13[[#This Row],[energy]]&gt;=0.7, "High Energy", IF(Table13[[#This Row],[energy]]&gt;=0.4, "Medium Energy", "Low Energy"))</f>
        <v>Low Energy</v>
      </c>
      <c r="U127" s="17" t="str">
        <f>IF(Table13[[#This Row],[popularity]]&gt;70, "Popular", IF(Table13[[#This Row],[popularity]]&lt;40, "Less Popular", "Mid"))</f>
        <v>Mid</v>
      </c>
    </row>
    <row r="128" spans="2:21" x14ac:dyDescent="0.3">
      <c r="B128" s="8" t="s">
        <v>180</v>
      </c>
      <c r="C128" s="8" t="s">
        <v>152</v>
      </c>
      <c r="D128" s="9">
        <v>45072</v>
      </c>
      <c r="E128" s="8">
        <v>14</v>
      </c>
      <c r="F128" s="8">
        <v>0.13819444444444445</v>
      </c>
      <c r="G128" s="11">
        <v>3.9583333333333331E-2</v>
      </c>
      <c r="H128" s="8">
        <v>0.51874999999999993</v>
      </c>
      <c r="I128" s="8" t="s">
        <v>181</v>
      </c>
      <c r="J128" s="8">
        <v>0.59305555555555556</v>
      </c>
      <c r="K128" s="8" t="s">
        <v>182</v>
      </c>
      <c r="L128" s="8">
        <v>0.23750000000000002</v>
      </c>
      <c r="M128" s="10">
        <v>96016</v>
      </c>
      <c r="N128" s="8">
        <v>0.39861111111111108</v>
      </c>
      <c r="O128" s="8">
        <v>62</v>
      </c>
      <c r="P128" s="8">
        <v>240355</v>
      </c>
      <c r="Q128" s="8">
        <f>YEAR(Table13[[#This Row],[release_date]])</f>
        <v>2023</v>
      </c>
      <c r="R128" s="8">
        <f>ROUND(Table13[[#This Row],[duration_ms]]/60000,2)</f>
        <v>4.01</v>
      </c>
      <c r="S128" s="8" t="str">
        <f>IF(Table13[[#This Row],[valence]]&gt;=0.6, "Happy", IF(Table13[[#This Row],[valence]]&gt;=0.4, "Neutral", "Sad"))</f>
        <v>Sad</v>
      </c>
      <c r="T128" s="8" t="str">
        <f>IF(Table13[[#This Row],[energy]]&gt;=0.7, "High Energy", IF(Table13[[#This Row],[energy]]&gt;=0.4, "Medium Energy", "Low Energy"))</f>
        <v>Medium Energy</v>
      </c>
      <c r="U128" s="17" t="str">
        <f>IF(Table13[[#This Row],[popularity]]&gt;70, "Popular", IF(Table13[[#This Row],[popularity]]&lt;40, "Less Popular", "Mid"))</f>
        <v>Mid</v>
      </c>
    </row>
    <row r="129" spans="2:21" x14ac:dyDescent="0.3">
      <c r="B129" s="8" t="s">
        <v>183</v>
      </c>
      <c r="C129" s="8" t="s">
        <v>152</v>
      </c>
      <c r="D129" s="9">
        <v>45072</v>
      </c>
      <c r="E129" s="8">
        <v>15</v>
      </c>
      <c r="F129" s="8">
        <v>0.58402777777777781</v>
      </c>
      <c r="G129" s="11">
        <v>2.9166666666666664E-2</v>
      </c>
      <c r="H129" s="11">
        <v>1.5277777777777777E-2</v>
      </c>
      <c r="I129" s="8" t="s">
        <v>184</v>
      </c>
      <c r="J129" s="8">
        <v>7.9166666666666663E-2</v>
      </c>
      <c r="K129" s="10">
        <v>-12584</v>
      </c>
      <c r="L129" s="8">
        <v>0.32777777777777778</v>
      </c>
      <c r="M129" s="10">
        <v>165564</v>
      </c>
      <c r="N129" s="8">
        <v>0.48958333333333331</v>
      </c>
      <c r="O129" s="8">
        <v>60</v>
      </c>
      <c r="P129" s="8">
        <v>218502</v>
      </c>
      <c r="Q129" s="8">
        <f>YEAR(Table13[[#This Row],[release_date]])</f>
        <v>2023</v>
      </c>
      <c r="R129" s="8">
        <f>ROUND(Table13[[#This Row],[duration_ms]]/60000,2)</f>
        <v>3.64</v>
      </c>
      <c r="S129" s="8" t="str">
        <f>IF(Table13[[#This Row],[valence]]&gt;=0.6, "Happy", IF(Table13[[#This Row],[valence]]&gt;=0.4, "Neutral", "Sad"))</f>
        <v>Neutral</v>
      </c>
      <c r="T129" s="8" t="str">
        <f>IF(Table13[[#This Row],[energy]]&gt;=0.7, "High Energy", IF(Table13[[#This Row],[energy]]&gt;=0.4, "Medium Energy", "Low Energy"))</f>
        <v>Low Energy</v>
      </c>
      <c r="U129" s="17" t="str">
        <f>IF(Table13[[#This Row],[popularity]]&gt;70, "Popular", IF(Table13[[#This Row],[popularity]]&lt;40, "Less Popular", "Mid"))</f>
        <v>Mid</v>
      </c>
    </row>
    <row r="130" spans="2:21" x14ac:dyDescent="0.3">
      <c r="B130" s="8" t="s">
        <v>185</v>
      </c>
      <c r="C130" s="8" t="s">
        <v>152</v>
      </c>
      <c r="D130" s="9">
        <v>45072</v>
      </c>
      <c r="E130" s="8">
        <v>16</v>
      </c>
      <c r="F130" s="8">
        <v>7.1527777777777773E-2</v>
      </c>
      <c r="G130" s="8">
        <v>0.48819444444444443</v>
      </c>
      <c r="H130" s="8">
        <v>0.35972222222222222</v>
      </c>
      <c r="I130" s="8" t="s">
        <v>186</v>
      </c>
      <c r="J130" s="8">
        <v>0.10277777777777779</v>
      </c>
      <c r="K130" s="10">
        <v>-10501</v>
      </c>
      <c r="L130" s="8" t="s">
        <v>187</v>
      </c>
      <c r="M130" s="8" t="s">
        <v>188</v>
      </c>
      <c r="N130" s="8">
        <v>0.24097222222222223</v>
      </c>
      <c r="O130" s="8">
        <v>60</v>
      </c>
      <c r="P130" s="8">
        <v>196258</v>
      </c>
      <c r="Q130" s="8">
        <f>YEAR(Table13[[#This Row],[release_date]])</f>
        <v>2023</v>
      </c>
      <c r="R130" s="8">
        <f>ROUND(Table13[[#This Row],[duration_ms]]/60000,2)</f>
        <v>3.27</v>
      </c>
      <c r="S130" s="8" t="str">
        <f>IF(Table13[[#This Row],[valence]]&gt;=0.6, "Happy", IF(Table13[[#This Row],[valence]]&gt;=0.4, "Neutral", "Sad"))</f>
        <v>Sad</v>
      </c>
      <c r="T130" s="8" t="str">
        <f>IF(Table13[[#This Row],[energy]]&gt;=0.7, "High Energy", IF(Table13[[#This Row],[energy]]&gt;=0.4, "Medium Energy", "Low Energy"))</f>
        <v>Low Energy</v>
      </c>
      <c r="U130" s="17" t="str">
        <f>IF(Table13[[#This Row],[popularity]]&gt;70, "Popular", IF(Table13[[#This Row],[popularity]]&lt;40, "Less Popular", "Mid"))</f>
        <v>Mid</v>
      </c>
    </row>
    <row r="131" spans="2:21" x14ac:dyDescent="0.3">
      <c r="B131" s="8" t="s">
        <v>189</v>
      </c>
      <c r="C131" s="8" t="s">
        <v>152</v>
      </c>
      <c r="D131" s="9">
        <v>45072</v>
      </c>
      <c r="E131" s="8">
        <v>17</v>
      </c>
      <c r="F131" s="8">
        <v>0.48888888888888887</v>
      </c>
      <c r="G131" s="8">
        <v>0.39652777777777781</v>
      </c>
      <c r="H131" s="8">
        <v>0.37986111111111115</v>
      </c>
      <c r="I131" s="11">
        <v>0</v>
      </c>
      <c r="J131" s="8">
        <v>0.60902777777777783</v>
      </c>
      <c r="K131" s="10">
        <v>-10141</v>
      </c>
      <c r="L131" s="8">
        <v>7.013888888888889E-2</v>
      </c>
      <c r="M131" s="10">
        <v>175933</v>
      </c>
      <c r="N131" s="8">
        <v>0.53333333333333333</v>
      </c>
      <c r="O131" s="8">
        <v>59</v>
      </c>
      <c r="P131" s="8">
        <v>231475</v>
      </c>
      <c r="Q131" s="8">
        <f>YEAR(Table13[[#This Row],[release_date]])</f>
        <v>2023</v>
      </c>
      <c r="R131" s="8">
        <f>ROUND(Table13[[#This Row],[duration_ms]]/60000,2)</f>
        <v>3.86</v>
      </c>
      <c r="S131" s="8" t="str">
        <f>IF(Table13[[#This Row],[valence]]&gt;=0.6, "Happy", IF(Table13[[#This Row],[valence]]&gt;=0.4, "Neutral", "Sad"))</f>
        <v>Neutral</v>
      </c>
      <c r="T131" s="8" t="str">
        <f>IF(Table13[[#This Row],[energy]]&gt;=0.7, "High Energy", IF(Table13[[#This Row],[energy]]&gt;=0.4, "Medium Energy", "Low Energy"))</f>
        <v>Low Energy</v>
      </c>
      <c r="U131" s="17" t="str">
        <f>IF(Table13[[#This Row],[popularity]]&gt;70, "Popular", IF(Table13[[#This Row],[popularity]]&lt;40, "Less Popular", "Mid"))</f>
        <v>Mid</v>
      </c>
    </row>
    <row r="132" spans="2:21" x14ac:dyDescent="0.3">
      <c r="B132" s="8" t="s">
        <v>190</v>
      </c>
      <c r="C132" s="8" t="s">
        <v>152</v>
      </c>
      <c r="D132" s="9">
        <v>45072</v>
      </c>
      <c r="E132" s="8">
        <v>18</v>
      </c>
      <c r="F132" s="8">
        <v>0.21805555555555556</v>
      </c>
      <c r="G132" s="8">
        <v>0.47013888888888888</v>
      </c>
      <c r="H132" s="11">
        <v>3.2638888888888891E-2</v>
      </c>
      <c r="I132" s="11">
        <v>0</v>
      </c>
      <c r="J132" s="11">
        <v>7.6388888888888886E-3</v>
      </c>
      <c r="K132" s="8" t="s">
        <v>191</v>
      </c>
      <c r="L132" s="8">
        <v>0.17986111111111111</v>
      </c>
      <c r="M132" s="10">
        <v>140881</v>
      </c>
      <c r="N132" s="8">
        <v>0.24097222222222223</v>
      </c>
      <c r="O132" s="8">
        <v>58</v>
      </c>
      <c r="P132" s="8">
        <v>148781</v>
      </c>
      <c r="Q132" s="8">
        <f>YEAR(Table13[[#This Row],[release_date]])</f>
        <v>2023</v>
      </c>
      <c r="R132" s="8">
        <f>ROUND(Table13[[#This Row],[duration_ms]]/60000,2)</f>
        <v>2.48</v>
      </c>
      <c r="S132" s="8" t="str">
        <f>IF(Table13[[#This Row],[valence]]&gt;=0.6, "Happy", IF(Table13[[#This Row],[valence]]&gt;=0.4, "Neutral", "Sad"))</f>
        <v>Sad</v>
      </c>
      <c r="T132" s="8" t="str">
        <f>IF(Table13[[#This Row],[energy]]&gt;=0.7, "High Energy", IF(Table13[[#This Row],[energy]]&gt;=0.4, "Medium Energy", "Low Energy"))</f>
        <v>Low Energy</v>
      </c>
      <c r="U132" s="17" t="str">
        <f>IF(Table13[[#This Row],[popularity]]&gt;70, "Popular", IF(Table13[[#This Row],[popularity]]&lt;40, "Less Popular", "Mid"))</f>
        <v>Mid</v>
      </c>
    </row>
    <row r="133" spans="2:21" x14ac:dyDescent="0.3">
      <c r="B133" s="8" t="s">
        <v>192</v>
      </c>
      <c r="C133" s="8" t="s">
        <v>152</v>
      </c>
      <c r="D133" s="9">
        <v>45072</v>
      </c>
      <c r="E133" s="8">
        <v>19</v>
      </c>
      <c r="F133" s="8">
        <v>0.27291666666666664</v>
      </c>
      <c r="G133" s="8">
        <v>0.33680555555555558</v>
      </c>
      <c r="H133" s="8">
        <v>0.58750000000000002</v>
      </c>
      <c r="I133" s="8" t="s">
        <v>193</v>
      </c>
      <c r="J133" s="8">
        <v>8.6111111111111124E-2</v>
      </c>
      <c r="K133" s="10">
        <v>-6557</v>
      </c>
      <c r="L133" s="8">
        <v>8.1250000000000003E-2</v>
      </c>
      <c r="M133" s="10">
        <v>157918</v>
      </c>
      <c r="N133" s="8">
        <v>0.38055555555555554</v>
      </c>
      <c r="O133" s="8">
        <v>62</v>
      </c>
      <c r="P133" s="8">
        <v>260361</v>
      </c>
      <c r="Q133" s="8">
        <f>YEAR(Table13[[#This Row],[release_date]])</f>
        <v>2023</v>
      </c>
      <c r="R133" s="8">
        <f>ROUND(Table13[[#This Row],[duration_ms]]/60000,2)</f>
        <v>4.34</v>
      </c>
      <c r="S133" s="8" t="str">
        <f>IF(Table13[[#This Row],[valence]]&gt;=0.6, "Happy", IF(Table13[[#This Row],[valence]]&gt;=0.4, "Neutral", "Sad"))</f>
        <v>Sad</v>
      </c>
      <c r="T133" s="8" t="str">
        <f>IF(Table13[[#This Row],[energy]]&gt;=0.7, "High Energy", IF(Table13[[#This Row],[energy]]&gt;=0.4, "Medium Energy", "Low Energy"))</f>
        <v>Medium Energy</v>
      </c>
      <c r="U133" s="17" t="str">
        <f>IF(Table13[[#This Row],[popularity]]&gt;70, "Popular", IF(Table13[[#This Row],[popularity]]&lt;40, "Less Popular", "Mid"))</f>
        <v>Mid</v>
      </c>
    </row>
    <row r="134" spans="2:21" x14ac:dyDescent="0.3">
      <c r="B134" s="8" t="s">
        <v>194</v>
      </c>
      <c r="C134" s="8" t="s">
        <v>152</v>
      </c>
      <c r="D134" s="9">
        <v>45072</v>
      </c>
      <c r="E134" s="8">
        <v>20</v>
      </c>
      <c r="F134" s="8">
        <v>0.32222222222222224</v>
      </c>
      <c r="G134" s="8">
        <v>0.4680555555555555</v>
      </c>
      <c r="H134" s="11">
        <v>2.7083333333333334E-2</v>
      </c>
      <c r="I134" s="8" t="s">
        <v>195</v>
      </c>
      <c r="J134" s="8">
        <v>8.0555555555555561E-2</v>
      </c>
      <c r="K134" s="10">
        <v>-11944</v>
      </c>
      <c r="L134" s="8">
        <v>0.3354166666666667</v>
      </c>
      <c r="M134" s="10">
        <v>107891</v>
      </c>
      <c r="N134" s="8">
        <v>0.10486111111111111</v>
      </c>
      <c r="O134" s="8">
        <v>59</v>
      </c>
      <c r="P134" s="8">
        <v>225194</v>
      </c>
      <c r="Q134" s="8">
        <f>YEAR(Table13[[#This Row],[release_date]])</f>
        <v>2023</v>
      </c>
      <c r="R134" s="8">
        <f>ROUND(Table13[[#This Row],[duration_ms]]/60000,2)</f>
        <v>3.75</v>
      </c>
      <c r="S134" s="8" t="str">
        <f>IF(Table13[[#This Row],[valence]]&gt;=0.6, "Happy", IF(Table13[[#This Row],[valence]]&gt;=0.4, "Neutral", "Sad"))</f>
        <v>Sad</v>
      </c>
      <c r="T134" s="8" t="str">
        <f>IF(Table13[[#This Row],[energy]]&gt;=0.7, "High Energy", IF(Table13[[#This Row],[energy]]&gt;=0.4, "Medium Energy", "Low Energy"))</f>
        <v>Low Energy</v>
      </c>
      <c r="U134" s="17" t="str">
        <f>IF(Table13[[#This Row],[popularity]]&gt;70, "Popular", IF(Table13[[#This Row],[popularity]]&lt;40, "Less Popular", "Mid"))</f>
        <v>Mid</v>
      </c>
    </row>
    <row r="135" spans="2:21" x14ac:dyDescent="0.3">
      <c r="B135" s="8" t="s">
        <v>196</v>
      </c>
      <c r="C135" s="8" t="s">
        <v>152</v>
      </c>
      <c r="D135" s="9">
        <v>45072</v>
      </c>
      <c r="E135" s="8">
        <v>21</v>
      </c>
      <c r="F135" s="8">
        <v>9.3055555555555558E-2</v>
      </c>
      <c r="G135" s="8">
        <v>0.46249999999999997</v>
      </c>
      <c r="H135" s="8">
        <v>0.54583333333333328</v>
      </c>
      <c r="I135" s="8" t="s">
        <v>197</v>
      </c>
      <c r="J135" s="8">
        <v>0.18402777777777779</v>
      </c>
      <c r="K135" s="10">
        <v>-6556</v>
      </c>
      <c r="L135" s="8">
        <v>0.30486111111111108</v>
      </c>
      <c r="M135" s="14">
        <v>4.4180555555555552</v>
      </c>
      <c r="N135" s="8">
        <v>0.18124999999999999</v>
      </c>
      <c r="O135" s="8">
        <v>72</v>
      </c>
      <c r="P135" s="8">
        <v>234466</v>
      </c>
      <c r="Q135" s="8">
        <f>YEAR(Table13[[#This Row],[release_date]])</f>
        <v>2023</v>
      </c>
      <c r="R135" s="8">
        <f>ROUND(Table13[[#This Row],[duration_ms]]/60000,2)</f>
        <v>3.91</v>
      </c>
      <c r="S135" s="8" t="str">
        <f>IF(Table13[[#This Row],[valence]]&gt;=0.6, "Happy", IF(Table13[[#This Row],[valence]]&gt;=0.4, "Neutral", "Sad"))</f>
        <v>Sad</v>
      </c>
      <c r="T135" s="8" t="str">
        <f>IF(Table13[[#This Row],[energy]]&gt;=0.7, "High Energy", IF(Table13[[#This Row],[energy]]&gt;=0.4, "Medium Energy", "Low Energy"))</f>
        <v>Medium Energy</v>
      </c>
      <c r="U135" s="17" t="str">
        <f>IF(Table13[[#This Row],[popularity]]&gt;70, "Popular", IF(Table13[[#This Row],[popularity]]&lt;40, "Less Popular", "Mid"))</f>
        <v>Popular</v>
      </c>
    </row>
    <row r="136" spans="2:21" x14ac:dyDescent="0.3">
      <c r="B136" s="8" t="s">
        <v>198</v>
      </c>
      <c r="C136" s="8" t="s">
        <v>152</v>
      </c>
      <c r="D136" s="9">
        <v>45072</v>
      </c>
      <c r="E136" s="8">
        <v>22</v>
      </c>
      <c r="F136" s="8">
        <v>0.55347222222222225</v>
      </c>
      <c r="G136" s="8">
        <v>0.46111111111111108</v>
      </c>
      <c r="H136" s="8">
        <v>0.27708333333333335</v>
      </c>
      <c r="I136" s="8" t="s">
        <v>83</v>
      </c>
      <c r="J136" s="8">
        <v>7.2916666666666671E-2</v>
      </c>
      <c r="K136" s="10">
        <v>-10997</v>
      </c>
      <c r="L136" s="8">
        <v>0.24236111111111111</v>
      </c>
      <c r="M136" s="10">
        <v>109937</v>
      </c>
      <c r="N136" s="8">
        <v>0.18402777777777779</v>
      </c>
      <c r="O136" s="8">
        <v>73</v>
      </c>
      <c r="P136" s="8">
        <v>229942</v>
      </c>
      <c r="Q136" s="8">
        <f>YEAR(Table13[[#This Row],[release_date]])</f>
        <v>2023</v>
      </c>
      <c r="R136" s="8">
        <f>ROUND(Table13[[#This Row],[duration_ms]]/60000,2)</f>
        <v>3.83</v>
      </c>
      <c r="S136" s="8" t="str">
        <f>IF(Table13[[#This Row],[valence]]&gt;=0.6, "Happy", IF(Table13[[#This Row],[valence]]&gt;=0.4, "Neutral", "Sad"))</f>
        <v>Sad</v>
      </c>
      <c r="T136" s="8" t="str">
        <f>IF(Table13[[#This Row],[energy]]&gt;=0.7, "High Energy", IF(Table13[[#This Row],[energy]]&gt;=0.4, "Medium Energy", "Low Energy"))</f>
        <v>Low Energy</v>
      </c>
      <c r="U136" s="17" t="str">
        <f>IF(Table13[[#This Row],[popularity]]&gt;70, "Popular", IF(Table13[[#This Row],[popularity]]&lt;40, "Less Popular", "Mid"))</f>
        <v>Popular</v>
      </c>
    </row>
    <row r="137" spans="2:21" x14ac:dyDescent="0.3">
      <c r="B137" s="8" t="s">
        <v>199</v>
      </c>
      <c r="C137" s="8" t="s">
        <v>152</v>
      </c>
      <c r="D137" s="9">
        <v>45072</v>
      </c>
      <c r="E137" s="8">
        <v>23</v>
      </c>
      <c r="F137" s="8">
        <v>0.39861111111111108</v>
      </c>
      <c r="G137" s="8">
        <v>0.42708333333333331</v>
      </c>
      <c r="H137" s="8">
        <v>0.43472222222222223</v>
      </c>
      <c r="I137" s="11">
        <v>0</v>
      </c>
      <c r="J137" s="8">
        <v>0.41388888888888892</v>
      </c>
      <c r="K137" s="10">
        <v>-6548</v>
      </c>
      <c r="L137" s="8">
        <v>0.54027777777777775</v>
      </c>
      <c r="M137" s="10">
        <v>89984</v>
      </c>
      <c r="N137" s="8">
        <v>0.48958333333333331</v>
      </c>
      <c r="O137" s="8">
        <v>64</v>
      </c>
      <c r="P137" s="8">
        <v>201493</v>
      </c>
      <c r="Q137" s="8">
        <f>YEAR(Table13[[#This Row],[release_date]])</f>
        <v>2023</v>
      </c>
      <c r="R137" s="8">
        <f>ROUND(Table13[[#This Row],[duration_ms]]/60000,2)</f>
        <v>3.36</v>
      </c>
      <c r="S137" s="8" t="str">
        <f>IF(Table13[[#This Row],[valence]]&gt;=0.6, "Happy", IF(Table13[[#This Row],[valence]]&gt;=0.4, "Neutral", "Sad"))</f>
        <v>Neutral</v>
      </c>
      <c r="T137" s="8" t="str">
        <f>IF(Table13[[#This Row],[energy]]&gt;=0.7, "High Energy", IF(Table13[[#This Row],[energy]]&gt;=0.4, "Medium Energy", "Low Energy"))</f>
        <v>Medium Energy</v>
      </c>
      <c r="U137" s="17" t="str">
        <f>IF(Table13[[#This Row],[popularity]]&gt;70, "Popular", IF(Table13[[#This Row],[popularity]]&lt;40, "Less Popular", "Mid"))</f>
        <v>Mid</v>
      </c>
    </row>
    <row r="138" spans="2:21" x14ac:dyDescent="0.3">
      <c r="B138" s="8" t="s">
        <v>151</v>
      </c>
      <c r="C138" s="8" t="s">
        <v>200</v>
      </c>
      <c r="D138" s="9">
        <v>44856</v>
      </c>
      <c r="E138" s="8">
        <v>1</v>
      </c>
      <c r="F138" s="11">
        <v>1.5972222222222224E-2</v>
      </c>
      <c r="G138" s="8">
        <v>0.51041666666666663</v>
      </c>
      <c r="H138" s="8">
        <v>0.31180555555555556</v>
      </c>
      <c r="I138" s="8" t="s">
        <v>153</v>
      </c>
      <c r="J138" s="8">
        <v>9.1666666666666674E-2</v>
      </c>
      <c r="K138" s="8" t="s">
        <v>154</v>
      </c>
      <c r="L138" s="8">
        <v>0.61319444444444449</v>
      </c>
      <c r="M138" s="14">
        <v>4.0451388888888884</v>
      </c>
      <c r="N138" s="8">
        <v>0.66319444444444442</v>
      </c>
      <c r="O138" s="8">
        <v>61</v>
      </c>
      <c r="P138" s="8">
        <v>202395</v>
      </c>
      <c r="Q138" s="8">
        <f>YEAR(Table13[[#This Row],[release_date]])</f>
        <v>2022</v>
      </c>
      <c r="R138" s="8">
        <f>ROUND(Table13[[#This Row],[duration_ms]]/60000,2)</f>
        <v>3.37</v>
      </c>
      <c r="S138" s="8" t="str">
        <f>IF(Table13[[#This Row],[valence]]&gt;=0.6, "Happy", IF(Table13[[#This Row],[valence]]&gt;=0.4, "Neutral", "Sad"))</f>
        <v>Happy</v>
      </c>
      <c r="T138" s="8" t="str">
        <f>IF(Table13[[#This Row],[energy]]&gt;=0.7, "High Energy", IF(Table13[[#This Row],[energy]]&gt;=0.4, "Medium Energy", "Low Energy"))</f>
        <v>Low Energy</v>
      </c>
      <c r="U138" s="17" t="str">
        <f>IF(Table13[[#This Row],[popularity]]&gt;70, "Popular", IF(Table13[[#This Row],[popularity]]&lt;40, "Less Popular", "Mid"))</f>
        <v>Mid</v>
      </c>
    </row>
    <row r="139" spans="2:21" x14ac:dyDescent="0.3">
      <c r="B139" s="8" t="s">
        <v>155</v>
      </c>
      <c r="C139" s="8" t="s">
        <v>200</v>
      </c>
      <c r="D139" s="9">
        <v>44856</v>
      </c>
      <c r="E139" s="8">
        <v>2</v>
      </c>
      <c r="F139" s="8">
        <v>0.44027777777777777</v>
      </c>
      <c r="G139" s="8">
        <v>0.4548611111111111</v>
      </c>
      <c r="H139" s="8">
        <v>0.26666666666666666</v>
      </c>
      <c r="I139" s="8" t="s">
        <v>156</v>
      </c>
      <c r="J139" s="8">
        <v>0.67569444444444438</v>
      </c>
      <c r="K139" s="8" t="s">
        <v>157</v>
      </c>
      <c r="L139" s="8">
        <v>0.24236111111111111</v>
      </c>
      <c r="M139" s="10">
        <v>108058</v>
      </c>
      <c r="N139" s="8">
        <v>0.26666666666666666</v>
      </c>
      <c r="O139" s="8">
        <v>61</v>
      </c>
      <c r="P139" s="8">
        <v>218270</v>
      </c>
      <c r="Q139" s="8">
        <f>YEAR(Table13[[#This Row],[release_date]])</f>
        <v>2022</v>
      </c>
      <c r="R139" s="8">
        <f>ROUND(Table13[[#This Row],[duration_ms]]/60000,2)</f>
        <v>3.64</v>
      </c>
      <c r="S139" s="8" t="str">
        <f>IF(Table13[[#This Row],[valence]]&gt;=0.6, "Happy", IF(Table13[[#This Row],[valence]]&gt;=0.4, "Neutral", "Sad"))</f>
        <v>Sad</v>
      </c>
      <c r="T139" s="8" t="str">
        <f>IF(Table13[[#This Row],[energy]]&gt;=0.7, "High Energy", IF(Table13[[#This Row],[energy]]&gt;=0.4, "Medium Energy", "Low Energy"))</f>
        <v>Low Energy</v>
      </c>
      <c r="U139" s="17" t="str">
        <f>IF(Table13[[#This Row],[popularity]]&gt;70, "Popular", IF(Table13[[#This Row],[popularity]]&lt;40, "Less Popular", "Mid"))</f>
        <v>Mid</v>
      </c>
    </row>
    <row r="140" spans="2:21" x14ac:dyDescent="0.3">
      <c r="B140" s="8" t="s">
        <v>158</v>
      </c>
      <c r="C140" s="8" t="s">
        <v>200</v>
      </c>
      <c r="D140" s="9">
        <v>44856</v>
      </c>
      <c r="E140" s="8">
        <v>3</v>
      </c>
      <c r="F140" s="8">
        <v>8.4027777777777771E-2</v>
      </c>
      <c r="G140" s="8">
        <v>0.43958333333333338</v>
      </c>
      <c r="H140" s="8">
        <v>0.45</v>
      </c>
      <c r="I140" s="8" t="s">
        <v>159</v>
      </c>
      <c r="J140" s="8">
        <v>0.11180555555555555</v>
      </c>
      <c r="K140" s="10">
        <v>-6645</v>
      </c>
      <c r="L140" s="8" t="s">
        <v>160</v>
      </c>
      <c r="M140" s="10">
        <v>96888</v>
      </c>
      <c r="N140" s="11">
        <v>3.4027777777777775E-2</v>
      </c>
      <c r="O140" s="8">
        <v>62</v>
      </c>
      <c r="P140" s="8">
        <v>200690</v>
      </c>
      <c r="Q140" s="8">
        <f>YEAR(Table13[[#This Row],[release_date]])</f>
        <v>2022</v>
      </c>
      <c r="R140" s="8">
        <f>ROUND(Table13[[#This Row],[duration_ms]]/60000,2)</f>
        <v>3.34</v>
      </c>
      <c r="S140" s="8" t="str">
        <f>IF(Table13[[#This Row],[valence]]&gt;=0.6, "Happy", IF(Table13[[#This Row],[valence]]&gt;=0.4, "Neutral", "Sad"))</f>
        <v>Sad</v>
      </c>
      <c r="T140" s="8" t="str">
        <f>IF(Table13[[#This Row],[energy]]&gt;=0.7, "High Energy", IF(Table13[[#This Row],[energy]]&gt;=0.4, "Medium Energy", "Low Energy"))</f>
        <v>Medium Energy</v>
      </c>
      <c r="U140" s="17" t="str">
        <f>IF(Table13[[#This Row],[popularity]]&gt;70, "Popular", IF(Table13[[#This Row],[popularity]]&lt;40, "Less Popular", "Mid"))</f>
        <v>Mid</v>
      </c>
    </row>
    <row r="141" spans="2:21" x14ac:dyDescent="0.3">
      <c r="B141" s="8" t="s">
        <v>161</v>
      </c>
      <c r="C141" s="8" t="s">
        <v>200</v>
      </c>
      <c r="D141" s="9">
        <v>44856</v>
      </c>
      <c r="E141" s="8">
        <v>4</v>
      </c>
      <c r="F141" s="8">
        <v>0.48680555555555555</v>
      </c>
      <c r="G141" s="8">
        <v>0.4604166666666667</v>
      </c>
      <c r="H141" s="8">
        <v>0.22291666666666665</v>
      </c>
      <c r="I141" s="8" t="s">
        <v>162</v>
      </c>
      <c r="J141" s="8">
        <v>7.4305555555555555E-2</v>
      </c>
      <c r="K141" s="10">
        <v>-13527</v>
      </c>
      <c r="L141" s="8">
        <v>0.28402777777777777</v>
      </c>
      <c r="M141" s="10">
        <v>110021</v>
      </c>
      <c r="N141" s="8">
        <v>0.10625</v>
      </c>
      <c r="O141" s="8">
        <v>62</v>
      </c>
      <c r="P141" s="8">
        <v>256124</v>
      </c>
      <c r="Q141" s="8">
        <f>YEAR(Table13[[#This Row],[release_date]])</f>
        <v>2022</v>
      </c>
      <c r="R141" s="8">
        <f>ROUND(Table13[[#This Row],[duration_ms]]/60000,2)</f>
        <v>4.2699999999999996</v>
      </c>
      <c r="S141" s="8" t="str">
        <f>IF(Table13[[#This Row],[valence]]&gt;=0.6, "Happy", IF(Table13[[#This Row],[valence]]&gt;=0.4, "Neutral", "Sad"))</f>
        <v>Sad</v>
      </c>
      <c r="T141" s="8" t="str">
        <f>IF(Table13[[#This Row],[energy]]&gt;=0.7, "High Energy", IF(Table13[[#This Row],[energy]]&gt;=0.4, "Medium Energy", "Low Energy"))</f>
        <v>Low Energy</v>
      </c>
      <c r="U141" s="17" t="str">
        <f>IF(Table13[[#This Row],[popularity]]&gt;70, "Popular", IF(Table13[[#This Row],[popularity]]&lt;40, "Less Popular", "Mid"))</f>
        <v>Mid</v>
      </c>
    </row>
    <row r="142" spans="2:21" x14ac:dyDescent="0.3">
      <c r="B142" s="8" t="s">
        <v>163</v>
      </c>
      <c r="C142" s="8" t="s">
        <v>200</v>
      </c>
      <c r="D142" s="9">
        <v>44856</v>
      </c>
      <c r="E142" s="8">
        <v>5</v>
      </c>
      <c r="F142" s="8">
        <v>0.31041666666666667</v>
      </c>
      <c r="G142" s="8">
        <v>0.48333333333333334</v>
      </c>
      <c r="H142" s="11">
        <v>2.7083333333333334E-2</v>
      </c>
      <c r="I142" s="8" t="s">
        <v>164</v>
      </c>
      <c r="J142" s="8">
        <v>8.6805555555555566E-2</v>
      </c>
      <c r="K142" s="10">
        <v>-10331</v>
      </c>
      <c r="L142" s="8">
        <v>0.42777777777777781</v>
      </c>
      <c r="M142" s="10">
        <v>120032</v>
      </c>
      <c r="N142" s="8">
        <v>0.27430555555555552</v>
      </c>
      <c r="O142" s="8">
        <v>62</v>
      </c>
      <c r="P142" s="8">
        <v>194206</v>
      </c>
      <c r="Q142" s="8">
        <f>YEAR(Table13[[#This Row],[release_date]])</f>
        <v>2022</v>
      </c>
      <c r="R142" s="8">
        <f>ROUND(Table13[[#This Row],[duration_ms]]/60000,2)</f>
        <v>3.24</v>
      </c>
      <c r="S142" s="8" t="str">
        <f>IF(Table13[[#This Row],[valence]]&gt;=0.6, "Happy", IF(Table13[[#This Row],[valence]]&gt;=0.4, "Neutral", "Sad"))</f>
        <v>Sad</v>
      </c>
      <c r="T142" s="8" t="str">
        <f>IF(Table13[[#This Row],[energy]]&gt;=0.7, "High Energy", IF(Table13[[#This Row],[energy]]&gt;=0.4, "Medium Energy", "Low Energy"))</f>
        <v>Low Energy</v>
      </c>
      <c r="U142" s="17" t="str">
        <f>IF(Table13[[#This Row],[popularity]]&gt;70, "Popular", IF(Table13[[#This Row],[popularity]]&lt;40, "Less Popular", "Mid"))</f>
        <v>Mid</v>
      </c>
    </row>
    <row r="143" spans="2:21" x14ac:dyDescent="0.3">
      <c r="B143" s="8" t="s">
        <v>165</v>
      </c>
      <c r="C143" s="8" t="s">
        <v>200</v>
      </c>
      <c r="D143" s="9">
        <v>44856</v>
      </c>
      <c r="E143" s="8">
        <v>6</v>
      </c>
      <c r="F143" s="8">
        <v>4.9305555555555554E-2</v>
      </c>
      <c r="G143" s="8">
        <v>0.41944444444444445</v>
      </c>
      <c r="H143" s="8">
        <v>0.26041666666666669</v>
      </c>
      <c r="I143" s="8" t="s">
        <v>166</v>
      </c>
      <c r="J143" s="8">
        <v>8.0555555555555561E-2</v>
      </c>
      <c r="K143" s="10">
        <v>-11637</v>
      </c>
      <c r="L143" s="8">
        <v>0.43958333333333338</v>
      </c>
      <c r="M143" s="10">
        <v>137651</v>
      </c>
      <c r="N143" s="8">
        <v>0.14097222222222222</v>
      </c>
      <c r="O143" s="8">
        <v>61</v>
      </c>
      <c r="P143" s="8">
        <v>174782</v>
      </c>
      <c r="Q143" s="8">
        <f>YEAR(Table13[[#This Row],[release_date]])</f>
        <v>2022</v>
      </c>
      <c r="R143" s="8">
        <f>ROUND(Table13[[#This Row],[duration_ms]]/60000,2)</f>
        <v>2.91</v>
      </c>
      <c r="S143" s="8" t="str">
        <f>IF(Table13[[#This Row],[valence]]&gt;=0.6, "Happy", IF(Table13[[#This Row],[valence]]&gt;=0.4, "Neutral", "Sad"))</f>
        <v>Sad</v>
      </c>
      <c r="T143" s="8" t="str">
        <f>IF(Table13[[#This Row],[energy]]&gt;=0.7, "High Energy", IF(Table13[[#This Row],[energy]]&gt;=0.4, "Medium Energy", "Low Energy"))</f>
        <v>Low Energy</v>
      </c>
      <c r="U143" s="17" t="str">
        <f>IF(Table13[[#This Row],[popularity]]&gt;70, "Popular", IF(Table13[[#This Row],[popularity]]&lt;40, "Less Popular", "Mid"))</f>
        <v>Mid</v>
      </c>
    </row>
    <row r="144" spans="2:21" x14ac:dyDescent="0.3">
      <c r="B144" s="8" t="s">
        <v>167</v>
      </c>
      <c r="C144" s="8" t="s">
        <v>200</v>
      </c>
      <c r="D144" s="9">
        <v>44856</v>
      </c>
      <c r="E144" s="8">
        <v>7</v>
      </c>
      <c r="F144" s="8">
        <v>0.14305555555555555</v>
      </c>
      <c r="G144" s="8">
        <v>0.45416666666666666</v>
      </c>
      <c r="H144" s="11">
        <v>3.5416666666666666E-2</v>
      </c>
      <c r="I144" s="11">
        <v>0</v>
      </c>
      <c r="J144" s="8">
        <v>0.17291666666666669</v>
      </c>
      <c r="K144" s="10">
        <v>-8767</v>
      </c>
      <c r="L144" s="8">
        <v>0.16805555555555554</v>
      </c>
      <c r="M144" s="10">
        <v>108874</v>
      </c>
      <c r="N144" s="8">
        <v>7.2916666666666671E-2</v>
      </c>
      <c r="O144" s="8">
        <v>58</v>
      </c>
      <c r="P144" s="8">
        <v>210556</v>
      </c>
      <c r="Q144" s="8">
        <f>YEAR(Table13[[#This Row],[release_date]])</f>
        <v>2022</v>
      </c>
      <c r="R144" s="8">
        <f>ROUND(Table13[[#This Row],[duration_ms]]/60000,2)</f>
        <v>3.51</v>
      </c>
      <c r="S144" s="8" t="str">
        <f>IF(Table13[[#This Row],[valence]]&gt;=0.6, "Happy", IF(Table13[[#This Row],[valence]]&gt;=0.4, "Neutral", "Sad"))</f>
        <v>Sad</v>
      </c>
      <c r="T144" s="8" t="str">
        <f>IF(Table13[[#This Row],[energy]]&gt;=0.7, "High Energy", IF(Table13[[#This Row],[energy]]&gt;=0.4, "Medium Energy", "Low Energy"))</f>
        <v>Low Energy</v>
      </c>
      <c r="U144" s="17" t="str">
        <f>IF(Table13[[#This Row],[popularity]]&gt;70, "Popular", IF(Table13[[#This Row],[popularity]]&lt;40, "Less Popular", "Mid"))</f>
        <v>Mid</v>
      </c>
    </row>
    <row r="145" spans="2:21" x14ac:dyDescent="0.3">
      <c r="B145" s="8" t="s">
        <v>168</v>
      </c>
      <c r="C145" s="8" t="s">
        <v>200</v>
      </c>
      <c r="D145" s="9">
        <v>44856</v>
      </c>
      <c r="E145" s="8">
        <v>8</v>
      </c>
      <c r="F145" s="8">
        <v>0.11527777777777777</v>
      </c>
      <c r="G145" s="8">
        <v>0.60555555555555551</v>
      </c>
      <c r="H145" s="8">
        <v>0.18541666666666667</v>
      </c>
      <c r="I145" s="8" t="s">
        <v>169</v>
      </c>
      <c r="J145" s="8">
        <v>8.5416666666666655E-2</v>
      </c>
      <c r="K145" s="10">
        <v>-10764</v>
      </c>
      <c r="L145" s="8">
        <v>0.26874999999999999</v>
      </c>
      <c r="M145" s="10">
        <v>79964</v>
      </c>
      <c r="N145" s="8">
        <v>0.11666666666666665</v>
      </c>
      <c r="O145" s="8">
        <v>61</v>
      </c>
      <c r="P145" s="8">
        <v>164801</v>
      </c>
      <c r="Q145" s="8">
        <f>YEAR(Table13[[#This Row],[release_date]])</f>
        <v>2022</v>
      </c>
      <c r="R145" s="8">
        <f>ROUND(Table13[[#This Row],[duration_ms]]/60000,2)</f>
        <v>2.75</v>
      </c>
      <c r="S145" s="8" t="str">
        <f>IF(Table13[[#This Row],[valence]]&gt;=0.6, "Happy", IF(Table13[[#This Row],[valence]]&gt;=0.4, "Neutral", "Sad"))</f>
        <v>Sad</v>
      </c>
      <c r="T145" s="8" t="str">
        <f>IF(Table13[[#This Row],[energy]]&gt;=0.7, "High Energy", IF(Table13[[#This Row],[energy]]&gt;=0.4, "Medium Energy", "Low Energy"))</f>
        <v>Low Energy</v>
      </c>
      <c r="U145" s="17" t="str">
        <f>IF(Table13[[#This Row],[popularity]]&gt;70, "Popular", IF(Table13[[#This Row],[popularity]]&lt;40, "Less Popular", "Mid"))</f>
        <v>Mid</v>
      </c>
    </row>
    <row r="146" spans="2:21" x14ac:dyDescent="0.3">
      <c r="B146" s="8" t="s">
        <v>170</v>
      </c>
      <c r="C146" s="8" t="s">
        <v>200</v>
      </c>
      <c r="D146" s="9">
        <v>44856</v>
      </c>
      <c r="E146" s="8">
        <v>9</v>
      </c>
      <c r="F146" s="8">
        <v>0.41180555555555554</v>
      </c>
      <c r="G146" s="8">
        <v>0.4770833333333333</v>
      </c>
      <c r="H146" s="8">
        <v>0.38263888888888892</v>
      </c>
      <c r="I146" s="8" t="s">
        <v>171</v>
      </c>
      <c r="J146" s="11">
        <v>6.2499999999999995E-3</v>
      </c>
      <c r="K146" s="10">
        <v>-9202</v>
      </c>
      <c r="L146" s="8">
        <v>0.54652777777777783</v>
      </c>
      <c r="M146" s="10">
        <v>163994</v>
      </c>
      <c r="N146" s="8">
        <v>0.30763888888888891</v>
      </c>
      <c r="O146" s="8">
        <v>62</v>
      </c>
      <c r="P146" s="8">
        <v>194165</v>
      </c>
      <c r="Q146" s="8">
        <f>YEAR(Table13[[#This Row],[release_date]])</f>
        <v>2022</v>
      </c>
      <c r="R146" s="8">
        <f>ROUND(Table13[[#This Row],[duration_ms]]/60000,2)</f>
        <v>3.24</v>
      </c>
      <c r="S146" s="8" t="str">
        <f>IF(Table13[[#This Row],[valence]]&gt;=0.6, "Happy", IF(Table13[[#This Row],[valence]]&gt;=0.4, "Neutral", "Sad"))</f>
        <v>Sad</v>
      </c>
      <c r="T146" s="8" t="str">
        <f>IF(Table13[[#This Row],[energy]]&gt;=0.7, "High Energy", IF(Table13[[#This Row],[energy]]&gt;=0.4, "Medium Energy", "Low Energy"))</f>
        <v>Low Energy</v>
      </c>
      <c r="U146" s="17" t="str">
        <f>IF(Table13[[#This Row],[popularity]]&gt;70, "Popular", IF(Table13[[#This Row],[popularity]]&lt;40, "Less Popular", "Mid"))</f>
        <v>Mid</v>
      </c>
    </row>
    <row r="147" spans="2:21" x14ac:dyDescent="0.3">
      <c r="B147" s="8" t="s">
        <v>172</v>
      </c>
      <c r="C147" s="8" t="s">
        <v>200</v>
      </c>
      <c r="D147" s="9">
        <v>44856</v>
      </c>
      <c r="E147" s="8">
        <v>10</v>
      </c>
      <c r="F147" s="8">
        <v>0.55347222222222225</v>
      </c>
      <c r="G147" s="11">
        <v>3.3333333333333333E-2</v>
      </c>
      <c r="H147" s="8">
        <v>0.20486111111111113</v>
      </c>
      <c r="I147" s="8">
        <v>0.23124999999999998</v>
      </c>
      <c r="J147" s="11">
        <v>8.3333333333333332E-3</v>
      </c>
      <c r="K147" s="10">
        <v>-15512</v>
      </c>
      <c r="L147" s="8">
        <v>0.26666666666666666</v>
      </c>
      <c r="M147" s="10">
        <v>110018</v>
      </c>
      <c r="N147" s="8">
        <v>9.1666666666666674E-2</v>
      </c>
      <c r="O147" s="8">
        <v>58</v>
      </c>
      <c r="P147" s="8">
        <v>247962</v>
      </c>
      <c r="Q147" s="8">
        <f>YEAR(Table13[[#This Row],[release_date]])</f>
        <v>2022</v>
      </c>
      <c r="R147" s="8">
        <f>ROUND(Table13[[#This Row],[duration_ms]]/60000,2)</f>
        <v>4.13</v>
      </c>
      <c r="S147" s="8" t="str">
        <f>IF(Table13[[#This Row],[valence]]&gt;=0.6, "Happy", IF(Table13[[#This Row],[valence]]&gt;=0.4, "Neutral", "Sad"))</f>
        <v>Sad</v>
      </c>
      <c r="T147" s="8" t="str">
        <f>IF(Table13[[#This Row],[energy]]&gt;=0.7, "High Energy", IF(Table13[[#This Row],[energy]]&gt;=0.4, "Medium Energy", "Low Energy"))</f>
        <v>Low Energy</v>
      </c>
      <c r="U147" s="17" t="str">
        <f>IF(Table13[[#This Row],[popularity]]&gt;70, "Popular", IF(Table13[[#This Row],[popularity]]&lt;40, "Less Popular", "Mid"))</f>
        <v>Mid</v>
      </c>
    </row>
    <row r="148" spans="2:21" x14ac:dyDescent="0.3">
      <c r="B148" s="8" t="s">
        <v>173</v>
      </c>
      <c r="C148" s="8" t="s">
        <v>200</v>
      </c>
      <c r="D148" s="9">
        <v>44856</v>
      </c>
      <c r="E148" s="8">
        <v>11</v>
      </c>
      <c r="F148" s="8" t="s">
        <v>160</v>
      </c>
      <c r="G148" s="8">
        <v>4.4444444444444446E-2</v>
      </c>
      <c r="H148" s="8">
        <v>0.42986111111111108</v>
      </c>
      <c r="I148" s="11">
        <v>0</v>
      </c>
      <c r="J148" s="8">
        <v>0.3298611111111111</v>
      </c>
      <c r="K148" s="10">
        <v>-7108</v>
      </c>
      <c r="L148" s="8" t="s">
        <v>174</v>
      </c>
      <c r="M148" s="10">
        <v>90008</v>
      </c>
      <c r="N148" s="8">
        <v>8.4027777777777771E-2</v>
      </c>
      <c r="O148" s="8">
        <v>65</v>
      </c>
      <c r="P148" s="8">
        <v>204852</v>
      </c>
      <c r="Q148" s="8">
        <f>YEAR(Table13[[#This Row],[release_date]])</f>
        <v>2022</v>
      </c>
      <c r="R148" s="8">
        <f>ROUND(Table13[[#This Row],[duration_ms]]/60000,2)</f>
        <v>3.41</v>
      </c>
      <c r="S148" s="8" t="str">
        <f>IF(Table13[[#This Row],[valence]]&gt;=0.6, "Happy", IF(Table13[[#This Row],[valence]]&gt;=0.4, "Neutral", "Sad"))</f>
        <v>Sad</v>
      </c>
      <c r="T148" s="8" t="str">
        <f>IF(Table13[[#This Row],[energy]]&gt;=0.7, "High Energy", IF(Table13[[#This Row],[energy]]&gt;=0.4, "Medium Energy", "Low Energy"))</f>
        <v>Medium Energy</v>
      </c>
      <c r="U148" s="17" t="str">
        <f>IF(Table13[[#This Row],[popularity]]&gt;70, "Popular", IF(Table13[[#This Row],[popularity]]&lt;40, "Less Popular", "Mid"))</f>
        <v>Mid</v>
      </c>
    </row>
    <row r="149" spans="2:21" x14ac:dyDescent="0.3">
      <c r="B149" s="8" t="s">
        <v>175</v>
      </c>
      <c r="C149" s="8" t="s">
        <v>200</v>
      </c>
      <c r="D149" s="9">
        <v>44856</v>
      </c>
      <c r="E149" s="8">
        <v>12</v>
      </c>
      <c r="F149" s="8">
        <v>0.67222222222222217</v>
      </c>
      <c r="G149" s="8">
        <v>0.23333333333333331</v>
      </c>
      <c r="H149" s="8">
        <v>0.11180555555555555</v>
      </c>
      <c r="I149" s="8" t="s">
        <v>176</v>
      </c>
      <c r="J149" s="8">
        <v>7.9861111111111119E-2</v>
      </c>
      <c r="K149" s="10">
        <v>-14973</v>
      </c>
      <c r="L149" s="8">
        <v>0.31666666666666665</v>
      </c>
      <c r="M149" s="14">
        <v>7.3666666666666671</v>
      </c>
      <c r="N149" s="8">
        <v>0.28263888888888888</v>
      </c>
      <c r="O149" s="8">
        <v>60</v>
      </c>
      <c r="P149" s="8">
        <v>188496</v>
      </c>
      <c r="Q149" s="8">
        <f>YEAR(Table13[[#This Row],[release_date]])</f>
        <v>2022</v>
      </c>
      <c r="R149" s="8">
        <f>ROUND(Table13[[#This Row],[duration_ms]]/60000,2)</f>
        <v>3.14</v>
      </c>
      <c r="S149" s="8" t="str">
        <f>IF(Table13[[#This Row],[valence]]&gt;=0.6, "Happy", IF(Table13[[#This Row],[valence]]&gt;=0.4, "Neutral", "Sad"))</f>
        <v>Sad</v>
      </c>
      <c r="T149" s="8" t="str">
        <f>IF(Table13[[#This Row],[energy]]&gt;=0.7, "High Energy", IF(Table13[[#This Row],[energy]]&gt;=0.4, "Medium Energy", "Low Energy"))</f>
        <v>Low Energy</v>
      </c>
      <c r="U149" s="17" t="str">
        <f>IF(Table13[[#This Row],[popularity]]&gt;70, "Popular", IF(Table13[[#This Row],[popularity]]&lt;40, "Less Popular", "Mid"))</f>
        <v>Mid</v>
      </c>
    </row>
    <row r="150" spans="2:21" x14ac:dyDescent="0.3">
      <c r="B150" s="8" t="s">
        <v>177</v>
      </c>
      <c r="C150" s="8" t="s">
        <v>200</v>
      </c>
      <c r="D150" s="9">
        <v>44856</v>
      </c>
      <c r="E150" s="8">
        <v>13</v>
      </c>
      <c r="F150" s="8">
        <v>0.3923611111111111</v>
      </c>
      <c r="G150" s="8">
        <v>4.5833333333333337E-2</v>
      </c>
      <c r="H150" s="8">
        <v>0.23819444444444446</v>
      </c>
      <c r="I150" s="8" t="s">
        <v>178</v>
      </c>
      <c r="J150" s="8">
        <v>0.64027777777777783</v>
      </c>
      <c r="K150" s="10">
        <v>-14132</v>
      </c>
      <c r="L150" s="11">
        <v>9.7222222222222224E-3</v>
      </c>
      <c r="M150" s="8" t="s">
        <v>179</v>
      </c>
      <c r="N150" s="8">
        <v>9.5138888888888884E-2</v>
      </c>
      <c r="O150" s="8">
        <v>64</v>
      </c>
      <c r="P150" s="8">
        <v>191039</v>
      </c>
      <c r="Q150" s="8">
        <f>YEAR(Table13[[#This Row],[release_date]])</f>
        <v>2022</v>
      </c>
      <c r="R150" s="8">
        <f>ROUND(Table13[[#This Row],[duration_ms]]/60000,2)</f>
        <v>3.18</v>
      </c>
      <c r="S150" s="8" t="str">
        <f>IF(Table13[[#This Row],[valence]]&gt;=0.6, "Happy", IF(Table13[[#This Row],[valence]]&gt;=0.4, "Neutral", "Sad"))</f>
        <v>Sad</v>
      </c>
      <c r="T150" s="8" t="str">
        <f>IF(Table13[[#This Row],[energy]]&gt;=0.7, "High Energy", IF(Table13[[#This Row],[energy]]&gt;=0.4, "Medium Energy", "Low Energy"))</f>
        <v>Low Energy</v>
      </c>
      <c r="U150" s="17" t="str">
        <f>IF(Table13[[#This Row],[popularity]]&gt;70, "Popular", IF(Table13[[#This Row],[popularity]]&lt;40, "Less Popular", "Mid"))</f>
        <v>Mid</v>
      </c>
    </row>
    <row r="151" spans="2:21" x14ac:dyDescent="0.3">
      <c r="B151" s="8" t="s">
        <v>180</v>
      </c>
      <c r="C151" s="8" t="s">
        <v>200</v>
      </c>
      <c r="D151" s="9">
        <v>44856</v>
      </c>
      <c r="E151" s="8">
        <v>14</v>
      </c>
      <c r="F151" s="8">
        <v>0.13819444444444445</v>
      </c>
      <c r="G151" s="11">
        <v>3.9583333333333331E-2</v>
      </c>
      <c r="H151" s="8">
        <v>0.51874999999999993</v>
      </c>
      <c r="I151" s="8" t="s">
        <v>181</v>
      </c>
      <c r="J151" s="8">
        <v>0.59305555555555556</v>
      </c>
      <c r="K151" s="8" t="s">
        <v>182</v>
      </c>
      <c r="L151" s="8">
        <v>0.23750000000000002</v>
      </c>
      <c r="M151" s="10">
        <v>96016</v>
      </c>
      <c r="N151" s="8">
        <v>0.39861111111111108</v>
      </c>
      <c r="O151" s="8">
        <v>69</v>
      </c>
      <c r="P151" s="8">
        <v>240355</v>
      </c>
      <c r="Q151" s="8">
        <f>YEAR(Table13[[#This Row],[release_date]])</f>
        <v>2022</v>
      </c>
      <c r="R151" s="8">
        <f>ROUND(Table13[[#This Row],[duration_ms]]/60000,2)</f>
        <v>4.01</v>
      </c>
      <c r="S151" s="8" t="str">
        <f>IF(Table13[[#This Row],[valence]]&gt;=0.6, "Happy", IF(Table13[[#This Row],[valence]]&gt;=0.4, "Neutral", "Sad"))</f>
        <v>Sad</v>
      </c>
      <c r="T151" s="8" t="str">
        <f>IF(Table13[[#This Row],[energy]]&gt;=0.7, "High Energy", IF(Table13[[#This Row],[energy]]&gt;=0.4, "Medium Energy", "Low Energy"))</f>
        <v>Medium Energy</v>
      </c>
      <c r="U151" s="17" t="str">
        <f>IF(Table13[[#This Row],[popularity]]&gt;70, "Popular", IF(Table13[[#This Row],[popularity]]&lt;40, "Less Popular", "Mid"))</f>
        <v>Mid</v>
      </c>
    </row>
    <row r="152" spans="2:21" x14ac:dyDescent="0.3">
      <c r="B152" s="8" t="s">
        <v>183</v>
      </c>
      <c r="C152" s="8" t="s">
        <v>200</v>
      </c>
      <c r="D152" s="9">
        <v>44856</v>
      </c>
      <c r="E152" s="8">
        <v>15</v>
      </c>
      <c r="F152" s="8">
        <v>0.58402777777777781</v>
      </c>
      <c r="G152" s="11">
        <v>2.9166666666666664E-2</v>
      </c>
      <c r="H152" s="11">
        <v>1.5277777777777777E-2</v>
      </c>
      <c r="I152" s="8" t="s">
        <v>184</v>
      </c>
      <c r="J152" s="8">
        <v>7.9166666666666663E-2</v>
      </c>
      <c r="K152" s="10">
        <v>-12584</v>
      </c>
      <c r="L152" s="8">
        <v>0.32777777777777778</v>
      </c>
      <c r="M152" s="10">
        <v>165564</v>
      </c>
      <c r="N152" s="8">
        <v>0.48958333333333331</v>
      </c>
      <c r="O152" s="8">
        <v>66</v>
      </c>
      <c r="P152" s="8">
        <v>218502</v>
      </c>
      <c r="Q152" s="8">
        <f>YEAR(Table13[[#This Row],[release_date]])</f>
        <v>2022</v>
      </c>
      <c r="R152" s="8">
        <f>ROUND(Table13[[#This Row],[duration_ms]]/60000,2)</f>
        <v>3.64</v>
      </c>
      <c r="S152" s="8" t="str">
        <f>IF(Table13[[#This Row],[valence]]&gt;=0.6, "Happy", IF(Table13[[#This Row],[valence]]&gt;=0.4, "Neutral", "Sad"))</f>
        <v>Neutral</v>
      </c>
      <c r="T152" s="8" t="str">
        <f>IF(Table13[[#This Row],[energy]]&gt;=0.7, "High Energy", IF(Table13[[#This Row],[energy]]&gt;=0.4, "Medium Energy", "Low Energy"))</f>
        <v>Low Energy</v>
      </c>
      <c r="U152" s="17" t="str">
        <f>IF(Table13[[#This Row],[popularity]]&gt;70, "Popular", IF(Table13[[#This Row],[popularity]]&lt;40, "Less Popular", "Mid"))</f>
        <v>Mid</v>
      </c>
    </row>
    <row r="153" spans="2:21" x14ac:dyDescent="0.3">
      <c r="B153" s="8" t="s">
        <v>185</v>
      </c>
      <c r="C153" s="8" t="s">
        <v>200</v>
      </c>
      <c r="D153" s="9">
        <v>44856</v>
      </c>
      <c r="E153" s="8">
        <v>16</v>
      </c>
      <c r="F153" s="8">
        <v>7.1527777777777773E-2</v>
      </c>
      <c r="G153" s="8">
        <v>0.48819444444444443</v>
      </c>
      <c r="H153" s="8">
        <v>0.35972222222222222</v>
      </c>
      <c r="I153" s="8" t="s">
        <v>186</v>
      </c>
      <c r="J153" s="8">
        <v>0.10277777777777779</v>
      </c>
      <c r="K153" s="10">
        <v>-10501</v>
      </c>
      <c r="L153" s="8" t="s">
        <v>187</v>
      </c>
      <c r="M153" s="8" t="s">
        <v>188</v>
      </c>
      <c r="N153" s="8">
        <v>0.24097222222222223</v>
      </c>
      <c r="O153" s="8">
        <v>66</v>
      </c>
      <c r="P153" s="8">
        <v>196258</v>
      </c>
      <c r="Q153" s="8">
        <f>YEAR(Table13[[#This Row],[release_date]])</f>
        <v>2022</v>
      </c>
      <c r="R153" s="8">
        <f>ROUND(Table13[[#This Row],[duration_ms]]/60000,2)</f>
        <v>3.27</v>
      </c>
      <c r="S153" s="8" t="str">
        <f>IF(Table13[[#This Row],[valence]]&gt;=0.6, "Happy", IF(Table13[[#This Row],[valence]]&gt;=0.4, "Neutral", "Sad"))</f>
        <v>Sad</v>
      </c>
      <c r="T153" s="8" t="str">
        <f>IF(Table13[[#This Row],[energy]]&gt;=0.7, "High Energy", IF(Table13[[#This Row],[energy]]&gt;=0.4, "Medium Energy", "Low Energy"))</f>
        <v>Low Energy</v>
      </c>
      <c r="U153" s="17" t="str">
        <f>IF(Table13[[#This Row],[popularity]]&gt;70, "Popular", IF(Table13[[#This Row],[popularity]]&lt;40, "Less Popular", "Mid"))</f>
        <v>Mid</v>
      </c>
    </row>
    <row r="154" spans="2:21" x14ac:dyDescent="0.3">
      <c r="B154" s="8" t="s">
        <v>189</v>
      </c>
      <c r="C154" s="8" t="s">
        <v>200</v>
      </c>
      <c r="D154" s="9">
        <v>44856</v>
      </c>
      <c r="E154" s="8">
        <v>17</v>
      </c>
      <c r="F154" s="8">
        <v>0.48888888888888887</v>
      </c>
      <c r="G154" s="8">
        <v>0.39652777777777781</v>
      </c>
      <c r="H154" s="8">
        <v>0.37986111111111115</v>
      </c>
      <c r="I154" s="11">
        <v>0</v>
      </c>
      <c r="J154" s="8">
        <v>0.60902777777777783</v>
      </c>
      <c r="K154" s="10">
        <v>-10141</v>
      </c>
      <c r="L154" s="8">
        <v>7.013888888888889E-2</v>
      </c>
      <c r="M154" s="10">
        <v>175933</v>
      </c>
      <c r="N154" s="8">
        <v>0.53333333333333333</v>
      </c>
      <c r="O154" s="8">
        <v>64</v>
      </c>
      <c r="P154" s="8">
        <v>231475</v>
      </c>
      <c r="Q154" s="8">
        <f>YEAR(Table13[[#This Row],[release_date]])</f>
        <v>2022</v>
      </c>
      <c r="R154" s="8">
        <f>ROUND(Table13[[#This Row],[duration_ms]]/60000,2)</f>
        <v>3.86</v>
      </c>
      <c r="S154" s="8" t="str">
        <f>IF(Table13[[#This Row],[valence]]&gt;=0.6, "Happy", IF(Table13[[#This Row],[valence]]&gt;=0.4, "Neutral", "Sad"))</f>
        <v>Neutral</v>
      </c>
      <c r="T154" s="8" t="str">
        <f>IF(Table13[[#This Row],[energy]]&gt;=0.7, "High Energy", IF(Table13[[#This Row],[energy]]&gt;=0.4, "Medium Energy", "Low Energy"))</f>
        <v>Low Energy</v>
      </c>
      <c r="U154" s="17" t="str">
        <f>IF(Table13[[#This Row],[popularity]]&gt;70, "Popular", IF(Table13[[#This Row],[popularity]]&lt;40, "Less Popular", "Mid"))</f>
        <v>Mid</v>
      </c>
    </row>
    <row r="155" spans="2:21" x14ac:dyDescent="0.3">
      <c r="B155" s="8" t="s">
        <v>190</v>
      </c>
      <c r="C155" s="8" t="s">
        <v>200</v>
      </c>
      <c r="D155" s="9">
        <v>44856</v>
      </c>
      <c r="E155" s="8">
        <v>18</v>
      </c>
      <c r="F155" s="8">
        <v>0.21805555555555556</v>
      </c>
      <c r="G155" s="8">
        <v>0.47013888888888888</v>
      </c>
      <c r="H155" s="11">
        <v>3.2638888888888891E-2</v>
      </c>
      <c r="I155" s="11">
        <v>0</v>
      </c>
      <c r="J155" s="11">
        <v>7.6388888888888886E-3</v>
      </c>
      <c r="K155" s="8" t="s">
        <v>191</v>
      </c>
      <c r="L155" s="8">
        <v>0.17986111111111111</v>
      </c>
      <c r="M155" s="10">
        <v>140881</v>
      </c>
      <c r="N155" s="8">
        <v>0.24097222222222223</v>
      </c>
      <c r="O155" s="8">
        <v>63</v>
      </c>
      <c r="P155" s="8">
        <v>148781</v>
      </c>
      <c r="Q155" s="8">
        <f>YEAR(Table13[[#This Row],[release_date]])</f>
        <v>2022</v>
      </c>
      <c r="R155" s="8">
        <f>ROUND(Table13[[#This Row],[duration_ms]]/60000,2)</f>
        <v>2.48</v>
      </c>
      <c r="S155" s="8" t="str">
        <f>IF(Table13[[#This Row],[valence]]&gt;=0.6, "Happy", IF(Table13[[#This Row],[valence]]&gt;=0.4, "Neutral", "Sad"))</f>
        <v>Sad</v>
      </c>
      <c r="T155" s="8" t="str">
        <f>IF(Table13[[#This Row],[energy]]&gt;=0.7, "High Energy", IF(Table13[[#This Row],[energy]]&gt;=0.4, "Medium Energy", "Low Energy"))</f>
        <v>Low Energy</v>
      </c>
      <c r="U155" s="17" t="str">
        <f>IF(Table13[[#This Row],[popularity]]&gt;70, "Popular", IF(Table13[[#This Row],[popularity]]&lt;40, "Less Popular", "Mid"))</f>
        <v>Mid</v>
      </c>
    </row>
    <row r="156" spans="2:21" x14ac:dyDescent="0.3">
      <c r="B156" s="8" t="s">
        <v>192</v>
      </c>
      <c r="C156" s="8" t="s">
        <v>200</v>
      </c>
      <c r="D156" s="9">
        <v>44856</v>
      </c>
      <c r="E156" s="8">
        <v>19</v>
      </c>
      <c r="F156" s="8">
        <v>0.27291666666666664</v>
      </c>
      <c r="G156" s="8">
        <v>0.33680555555555558</v>
      </c>
      <c r="H156" s="8">
        <v>0.58750000000000002</v>
      </c>
      <c r="I156" s="8" t="s">
        <v>193</v>
      </c>
      <c r="J156" s="8">
        <v>8.6111111111111124E-2</v>
      </c>
      <c r="K156" s="10">
        <v>-6557</v>
      </c>
      <c r="L156" s="8">
        <v>8.1250000000000003E-2</v>
      </c>
      <c r="M156" s="10">
        <v>157918</v>
      </c>
      <c r="N156" s="8">
        <v>0.38055555555555554</v>
      </c>
      <c r="O156" s="8">
        <v>68</v>
      </c>
      <c r="P156" s="8">
        <v>260361</v>
      </c>
      <c r="Q156" s="8">
        <f>YEAR(Table13[[#This Row],[release_date]])</f>
        <v>2022</v>
      </c>
      <c r="R156" s="8">
        <f>ROUND(Table13[[#This Row],[duration_ms]]/60000,2)</f>
        <v>4.34</v>
      </c>
      <c r="S156" s="8" t="str">
        <f>IF(Table13[[#This Row],[valence]]&gt;=0.6, "Happy", IF(Table13[[#This Row],[valence]]&gt;=0.4, "Neutral", "Sad"))</f>
        <v>Sad</v>
      </c>
      <c r="T156" s="8" t="str">
        <f>IF(Table13[[#This Row],[energy]]&gt;=0.7, "High Energy", IF(Table13[[#This Row],[energy]]&gt;=0.4, "Medium Energy", "Low Energy"))</f>
        <v>Medium Energy</v>
      </c>
      <c r="U156" s="17" t="str">
        <f>IF(Table13[[#This Row],[popularity]]&gt;70, "Popular", IF(Table13[[#This Row],[popularity]]&lt;40, "Less Popular", "Mid"))</f>
        <v>Mid</v>
      </c>
    </row>
    <row r="157" spans="2:21" x14ac:dyDescent="0.3">
      <c r="B157" s="8" t="s">
        <v>194</v>
      </c>
      <c r="C157" s="8" t="s">
        <v>200</v>
      </c>
      <c r="D157" s="9">
        <v>44856</v>
      </c>
      <c r="E157" s="8">
        <v>20</v>
      </c>
      <c r="F157" s="8">
        <v>0.32222222222222224</v>
      </c>
      <c r="G157" s="8">
        <v>0.4680555555555555</v>
      </c>
      <c r="H157" s="11">
        <v>2.7083333333333334E-2</v>
      </c>
      <c r="I157" s="8" t="s">
        <v>195</v>
      </c>
      <c r="J157" s="8">
        <v>8.0555555555555561E-2</v>
      </c>
      <c r="K157" s="10">
        <v>-11944</v>
      </c>
      <c r="L157" s="8">
        <v>0.3354166666666667</v>
      </c>
      <c r="M157" s="10">
        <v>107891</v>
      </c>
      <c r="N157" s="8">
        <v>0.10486111111111111</v>
      </c>
      <c r="O157" s="8">
        <v>64</v>
      </c>
      <c r="P157" s="8">
        <v>225194</v>
      </c>
      <c r="Q157" s="8">
        <f>YEAR(Table13[[#This Row],[release_date]])</f>
        <v>2022</v>
      </c>
      <c r="R157" s="8">
        <f>ROUND(Table13[[#This Row],[duration_ms]]/60000,2)</f>
        <v>3.75</v>
      </c>
      <c r="S157" s="8" t="str">
        <f>IF(Table13[[#This Row],[valence]]&gt;=0.6, "Happy", IF(Table13[[#This Row],[valence]]&gt;=0.4, "Neutral", "Sad"))</f>
        <v>Sad</v>
      </c>
      <c r="T157" s="8" t="str">
        <f>IF(Table13[[#This Row],[energy]]&gt;=0.7, "High Energy", IF(Table13[[#This Row],[energy]]&gt;=0.4, "Medium Energy", "Low Energy"))</f>
        <v>Low Energy</v>
      </c>
      <c r="U157" s="17" t="str">
        <f>IF(Table13[[#This Row],[popularity]]&gt;70, "Popular", IF(Table13[[#This Row],[popularity]]&lt;40, "Less Popular", "Mid"))</f>
        <v>Mid</v>
      </c>
    </row>
    <row r="158" spans="2:21" x14ac:dyDescent="0.3">
      <c r="B158" s="8" t="s">
        <v>151</v>
      </c>
      <c r="C158" s="8" t="s">
        <v>201</v>
      </c>
      <c r="D158" s="9">
        <v>44855</v>
      </c>
      <c r="E158" s="8">
        <v>1</v>
      </c>
      <c r="F158" s="11">
        <v>1.5972222222222224E-2</v>
      </c>
      <c r="G158" s="8">
        <v>0.51041666666666663</v>
      </c>
      <c r="H158" s="8">
        <v>0.31180555555555556</v>
      </c>
      <c r="I158" s="8" t="s">
        <v>153</v>
      </c>
      <c r="J158" s="8">
        <v>9.1666666666666674E-2</v>
      </c>
      <c r="K158" s="8" t="s">
        <v>154</v>
      </c>
      <c r="L158" s="8">
        <v>0.61319444444444449</v>
      </c>
      <c r="M158" s="14">
        <v>4.0451388888888884</v>
      </c>
      <c r="N158" s="8">
        <v>0.66319444444444442</v>
      </c>
      <c r="O158" s="8">
        <v>77</v>
      </c>
      <c r="P158" s="8">
        <v>202395</v>
      </c>
      <c r="Q158" s="8">
        <f>YEAR(Table13[[#This Row],[release_date]])</f>
        <v>2022</v>
      </c>
      <c r="R158" s="8">
        <f>ROUND(Table13[[#This Row],[duration_ms]]/60000,2)</f>
        <v>3.37</v>
      </c>
      <c r="S158" s="8" t="str">
        <f>IF(Table13[[#This Row],[valence]]&gt;=0.6, "Happy", IF(Table13[[#This Row],[valence]]&gt;=0.4, "Neutral", "Sad"))</f>
        <v>Happy</v>
      </c>
      <c r="T158" s="8" t="str">
        <f>IF(Table13[[#This Row],[energy]]&gt;=0.7, "High Energy", IF(Table13[[#This Row],[energy]]&gt;=0.4, "Medium Energy", "Low Energy"))</f>
        <v>Low Energy</v>
      </c>
      <c r="U158" s="17" t="str">
        <f>IF(Table13[[#This Row],[popularity]]&gt;70, "Popular", IF(Table13[[#This Row],[popularity]]&lt;40, "Less Popular", "Mid"))</f>
        <v>Popular</v>
      </c>
    </row>
    <row r="159" spans="2:21" x14ac:dyDescent="0.3">
      <c r="B159" s="8" t="s">
        <v>155</v>
      </c>
      <c r="C159" s="8" t="s">
        <v>201</v>
      </c>
      <c r="D159" s="9">
        <v>44855</v>
      </c>
      <c r="E159" s="8">
        <v>2</v>
      </c>
      <c r="F159" s="8">
        <v>0.44027777777777777</v>
      </c>
      <c r="G159" s="8">
        <v>0.4548611111111111</v>
      </c>
      <c r="H159" s="8">
        <v>0.26666666666666666</v>
      </c>
      <c r="I159" s="8" t="s">
        <v>156</v>
      </c>
      <c r="J159" s="8">
        <v>0.67569444444444438</v>
      </c>
      <c r="K159" s="8" t="s">
        <v>157</v>
      </c>
      <c r="L159" s="8">
        <v>0.24236111111111111</v>
      </c>
      <c r="M159" s="10">
        <v>108058</v>
      </c>
      <c r="N159" s="8">
        <v>0.26666666666666666</v>
      </c>
      <c r="O159" s="8">
        <v>72</v>
      </c>
      <c r="P159" s="8">
        <v>218270</v>
      </c>
      <c r="Q159" s="8">
        <f>YEAR(Table13[[#This Row],[release_date]])</f>
        <v>2022</v>
      </c>
      <c r="R159" s="8">
        <f>ROUND(Table13[[#This Row],[duration_ms]]/60000,2)</f>
        <v>3.64</v>
      </c>
      <c r="S159" s="8" t="str">
        <f>IF(Table13[[#This Row],[valence]]&gt;=0.6, "Happy", IF(Table13[[#This Row],[valence]]&gt;=0.4, "Neutral", "Sad"))</f>
        <v>Sad</v>
      </c>
      <c r="T159" s="8" t="str">
        <f>IF(Table13[[#This Row],[energy]]&gt;=0.7, "High Energy", IF(Table13[[#This Row],[energy]]&gt;=0.4, "Medium Energy", "Low Energy"))</f>
        <v>Low Energy</v>
      </c>
      <c r="U159" s="17" t="str">
        <f>IF(Table13[[#This Row],[popularity]]&gt;70, "Popular", IF(Table13[[#This Row],[popularity]]&lt;40, "Less Popular", "Mid"))</f>
        <v>Popular</v>
      </c>
    </row>
    <row r="160" spans="2:21" x14ac:dyDescent="0.3">
      <c r="B160" s="8" t="s">
        <v>158</v>
      </c>
      <c r="C160" s="8" t="s">
        <v>201</v>
      </c>
      <c r="D160" s="9">
        <v>44855</v>
      </c>
      <c r="E160" s="8">
        <v>3</v>
      </c>
      <c r="F160" s="8">
        <v>8.4027777777777771E-2</v>
      </c>
      <c r="G160" s="8">
        <v>0.43958333333333338</v>
      </c>
      <c r="H160" s="8">
        <v>0.45</v>
      </c>
      <c r="I160" s="8" t="s">
        <v>159</v>
      </c>
      <c r="J160" s="8">
        <v>0.11180555555555555</v>
      </c>
      <c r="K160" s="10">
        <v>-6645</v>
      </c>
      <c r="L160" s="8" t="s">
        <v>160</v>
      </c>
      <c r="M160" s="10">
        <v>96888</v>
      </c>
      <c r="N160" s="11">
        <v>3.4027777777777775E-2</v>
      </c>
      <c r="O160" s="8">
        <v>85</v>
      </c>
      <c r="P160" s="8">
        <v>200690</v>
      </c>
      <c r="Q160" s="8">
        <f>YEAR(Table13[[#This Row],[release_date]])</f>
        <v>2022</v>
      </c>
      <c r="R160" s="8">
        <f>ROUND(Table13[[#This Row],[duration_ms]]/60000,2)</f>
        <v>3.34</v>
      </c>
      <c r="S160" s="8" t="str">
        <f>IF(Table13[[#This Row],[valence]]&gt;=0.6, "Happy", IF(Table13[[#This Row],[valence]]&gt;=0.4, "Neutral", "Sad"))</f>
        <v>Sad</v>
      </c>
      <c r="T160" s="8" t="str">
        <f>IF(Table13[[#This Row],[energy]]&gt;=0.7, "High Energy", IF(Table13[[#This Row],[energy]]&gt;=0.4, "Medium Energy", "Low Energy"))</f>
        <v>Medium Energy</v>
      </c>
      <c r="U160" s="17" t="str">
        <f>IF(Table13[[#This Row],[popularity]]&gt;70, "Popular", IF(Table13[[#This Row],[popularity]]&lt;40, "Less Popular", "Mid"))</f>
        <v>Popular</v>
      </c>
    </row>
    <row r="161" spans="2:21" x14ac:dyDescent="0.3">
      <c r="B161" s="8" t="s">
        <v>161</v>
      </c>
      <c r="C161" s="8" t="s">
        <v>201</v>
      </c>
      <c r="D161" s="9">
        <v>44855</v>
      </c>
      <c r="E161" s="8">
        <v>4</v>
      </c>
      <c r="F161" s="8">
        <v>0.48680555555555555</v>
      </c>
      <c r="G161" s="8">
        <v>0.4604166666666667</v>
      </c>
      <c r="H161" s="8">
        <v>0.22291666666666665</v>
      </c>
      <c r="I161" s="8" t="s">
        <v>162</v>
      </c>
      <c r="J161" s="8">
        <v>7.4305555555555555E-2</v>
      </c>
      <c r="K161" s="10">
        <v>-13527</v>
      </c>
      <c r="L161" s="8">
        <v>0.28402777777777777</v>
      </c>
      <c r="M161" s="10">
        <v>110021</v>
      </c>
      <c r="N161" s="8">
        <v>0.10625</v>
      </c>
      <c r="O161" s="8">
        <v>69</v>
      </c>
      <c r="P161" s="8">
        <v>256124</v>
      </c>
      <c r="Q161" s="8">
        <f>YEAR(Table13[[#This Row],[release_date]])</f>
        <v>2022</v>
      </c>
      <c r="R161" s="8">
        <f>ROUND(Table13[[#This Row],[duration_ms]]/60000,2)</f>
        <v>4.2699999999999996</v>
      </c>
      <c r="S161" s="8" t="str">
        <f>IF(Table13[[#This Row],[valence]]&gt;=0.6, "Happy", IF(Table13[[#This Row],[valence]]&gt;=0.4, "Neutral", "Sad"))</f>
        <v>Sad</v>
      </c>
      <c r="T161" s="8" t="str">
        <f>IF(Table13[[#This Row],[energy]]&gt;=0.7, "High Energy", IF(Table13[[#This Row],[energy]]&gt;=0.4, "Medium Energy", "Low Energy"))</f>
        <v>Low Energy</v>
      </c>
      <c r="U161" s="17" t="str">
        <f>IF(Table13[[#This Row],[popularity]]&gt;70, "Popular", IF(Table13[[#This Row],[popularity]]&lt;40, "Less Popular", "Mid"))</f>
        <v>Mid</v>
      </c>
    </row>
    <row r="162" spans="2:21" x14ac:dyDescent="0.3">
      <c r="B162" s="8" t="s">
        <v>163</v>
      </c>
      <c r="C162" s="8" t="s">
        <v>201</v>
      </c>
      <c r="D162" s="9">
        <v>44855</v>
      </c>
      <c r="E162" s="8">
        <v>5</v>
      </c>
      <c r="F162" s="8">
        <v>0.31041666666666667</v>
      </c>
      <c r="G162" s="8">
        <v>0.48333333333333334</v>
      </c>
      <c r="H162" s="11">
        <v>2.7083333333333334E-2</v>
      </c>
      <c r="I162" s="8" t="s">
        <v>164</v>
      </c>
      <c r="J162" s="8">
        <v>8.6805555555555566E-2</v>
      </c>
      <c r="K162" s="10">
        <v>-10331</v>
      </c>
      <c r="L162" s="8">
        <v>0.42777777777777781</v>
      </c>
      <c r="M162" s="10">
        <v>120032</v>
      </c>
      <c r="N162" s="8">
        <v>0.27430555555555552</v>
      </c>
      <c r="O162" s="8">
        <v>77</v>
      </c>
      <c r="P162" s="8">
        <v>194206</v>
      </c>
      <c r="Q162" s="8">
        <f>YEAR(Table13[[#This Row],[release_date]])</f>
        <v>2022</v>
      </c>
      <c r="R162" s="8">
        <f>ROUND(Table13[[#This Row],[duration_ms]]/60000,2)</f>
        <v>3.24</v>
      </c>
      <c r="S162" s="8" t="str">
        <f>IF(Table13[[#This Row],[valence]]&gt;=0.6, "Happy", IF(Table13[[#This Row],[valence]]&gt;=0.4, "Neutral", "Sad"))</f>
        <v>Sad</v>
      </c>
      <c r="T162" s="8" t="str">
        <f>IF(Table13[[#This Row],[energy]]&gt;=0.7, "High Energy", IF(Table13[[#This Row],[energy]]&gt;=0.4, "Medium Energy", "Low Energy"))</f>
        <v>Low Energy</v>
      </c>
      <c r="U162" s="17" t="str">
        <f>IF(Table13[[#This Row],[popularity]]&gt;70, "Popular", IF(Table13[[#This Row],[popularity]]&lt;40, "Less Popular", "Mid"))</f>
        <v>Popular</v>
      </c>
    </row>
    <row r="163" spans="2:21" x14ac:dyDescent="0.3">
      <c r="B163" s="8" t="s">
        <v>165</v>
      </c>
      <c r="C163" s="8" t="s">
        <v>201</v>
      </c>
      <c r="D163" s="9">
        <v>44855</v>
      </c>
      <c r="E163" s="8">
        <v>6</v>
      </c>
      <c r="F163" s="8">
        <v>4.9305555555555554E-2</v>
      </c>
      <c r="G163" s="8">
        <v>0.41944444444444445</v>
      </c>
      <c r="H163" s="8">
        <v>0.26041666666666669</v>
      </c>
      <c r="I163" s="8" t="s">
        <v>166</v>
      </c>
      <c r="J163" s="8">
        <v>8.0555555555555561E-2</v>
      </c>
      <c r="K163" s="10">
        <v>-11637</v>
      </c>
      <c r="L163" s="8">
        <v>0.43958333333333338</v>
      </c>
      <c r="M163" s="10">
        <v>137651</v>
      </c>
      <c r="N163" s="8">
        <v>0.14097222222222222</v>
      </c>
      <c r="O163" s="8">
        <v>76</v>
      </c>
      <c r="P163" s="8">
        <v>174782</v>
      </c>
      <c r="Q163" s="8">
        <f>YEAR(Table13[[#This Row],[release_date]])</f>
        <v>2022</v>
      </c>
      <c r="R163" s="8">
        <f>ROUND(Table13[[#This Row],[duration_ms]]/60000,2)</f>
        <v>2.91</v>
      </c>
      <c r="S163" s="8" t="str">
        <f>IF(Table13[[#This Row],[valence]]&gt;=0.6, "Happy", IF(Table13[[#This Row],[valence]]&gt;=0.4, "Neutral", "Sad"))</f>
        <v>Sad</v>
      </c>
      <c r="T163" s="8" t="str">
        <f>IF(Table13[[#This Row],[energy]]&gt;=0.7, "High Energy", IF(Table13[[#This Row],[energy]]&gt;=0.4, "Medium Energy", "Low Energy"))</f>
        <v>Low Energy</v>
      </c>
      <c r="U163" s="17" t="str">
        <f>IF(Table13[[#This Row],[popularity]]&gt;70, "Popular", IF(Table13[[#This Row],[popularity]]&lt;40, "Less Popular", "Mid"))</f>
        <v>Popular</v>
      </c>
    </row>
    <row r="164" spans="2:21" x14ac:dyDescent="0.3">
      <c r="B164" s="8" t="s">
        <v>167</v>
      </c>
      <c r="C164" s="8" t="s">
        <v>201</v>
      </c>
      <c r="D164" s="9">
        <v>44855</v>
      </c>
      <c r="E164" s="8">
        <v>7</v>
      </c>
      <c r="F164" s="8">
        <v>0.14305555555555555</v>
      </c>
      <c r="G164" s="8">
        <v>0.45416666666666666</v>
      </c>
      <c r="H164" s="11">
        <v>3.5416666666666666E-2</v>
      </c>
      <c r="I164" s="11">
        <v>0</v>
      </c>
      <c r="J164" s="8">
        <v>0.17291666666666669</v>
      </c>
      <c r="K164" s="10">
        <v>-8767</v>
      </c>
      <c r="L164" s="8">
        <v>0.16805555555555554</v>
      </c>
      <c r="M164" s="10">
        <v>108874</v>
      </c>
      <c r="N164" s="8">
        <v>7.2916666666666671E-2</v>
      </c>
      <c r="O164" s="8">
        <v>66</v>
      </c>
      <c r="P164" s="8">
        <v>210556</v>
      </c>
      <c r="Q164" s="8">
        <f>YEAR(Table13[[#This Row],[release_date]])</f>
        <v>2022</v>
      </c>
      <c r="R164" s="8">
        <f>ROUND(Table13[[#This Row],[duration_ms]]/60000,2)</f>
        <v>3.51</v>
      </c>
      <c r="S164" s="8" t="str">
        <f>IF(Table13[[#This Row],[valence]]&gt;=0.6, "Happy", IF(Table13[[#This Row],[valence]]&gt;=0.4, "Neutral", "Sad"))</f>
        <v>Sad</v>
      </c>
      <c r="T164" s="8" t="str">
        <f>IF(Table13[[#This Row],[energy]]&gt;=0.7, "High Energy", IF(Table13[[#This Row],[energy]]&gt;=0.4, "Medium Energy", "Low Energy"))</f>
        <v>Low Energy</v>
      </c>
      <c r="U164" s="17" t="str">
        <f>IF(Table13[[#This Row],[popularity]]&gt;70, "Popular", IF(Table13[[#This Row],[popularity]]&lt;40, "Less Popular", "Mid"))</f>
        <v>Mid</v>
      </c>
    </row>
    <row r="165" spans="2:21" x14ac:dyDescent="0.3">
      <c r="B165" s="8" t="s">
        <v>168</v>
      </c>
      <c r="C165" s="8" t="s">
        <v>201</v>
      </c>
      <c r="D165" s="9">
        <v>44855</v>
      </c>
      <c r="E165" s="8">
        <v>8</v>
      </c>
      <c r="F165" s="8">
        <v>0.11527777777777777</v>
      </c>
      <c r="G165" s="8">
        <v>0.60555555555555551</v>
      </c>
      <c r="H165" s="8">
        <v>0.18541666666666667</v>
      </c>
      <c r="I165" s="8" t="s">
        <v>169</v>
      </c>
      <c r="J165" s="8">
        <v>8.5416666666666655E-2</v>
      </c>
      <c r="K165" s="10">
        <v>-10764</v>
      </c>
      <c r="L165" s="8">
        <v>0.26874999999999999</v>
      </c>
      <c r="M165" s="10">
        <v>79964</v>
      </c>
      <c r="N165" s="8">
        <v>0.11666666666666665</v>
      </c>
      <c r="O165" s="8">
        <v>74</v>
      </c>
      <c r="P165" s="8">
        <v>164801</v>
      </c>
      <c r="Q165" s="8">
        <f>YEAR(Table13[[#This Row],[release_date]])</f>
        <v>2022</v>
      </c>
      <c r="R165" s="8">
        <f>ROUND(Table13[[#This Row],[duration_ms]]/60000,2)</f>
        <v>2.75</v>
      </c>
      <c r="S165" s="8" t="str">
        <f>IF(Table13[[#This Row],[valence]]&gt;=0.6, "Happy", IF(Table13[[#This Row],[valence]]&gt;=0.4, "Neutral", "Sad"))</f>
        <v>Sad</v>
      </c>
      <c r="T165" s="8" t="str">
        <f>IF(Table13[[#This Row],[energy]]&gt;=0.7, "High Energy", IF(Table13[[#This Row],[energy]]&gt;=0.4, "Medium Energy", "Low Energy"))</f>
        <v>Low Energy</v>
      </c>
      <c r="U165" s="17" t="str">
        <f>IF(Table13[[#This Row],[popularity]]&gt;70, "Popular", IF(Table13[[#This Row],[popularity]]&lt;40, "Less Popular", "Mid"))</f>
        <v>Popular</v>
      </c>
    </row>
    <row r="166" spans="2:21" x14ac:dyDescent="0.3">
      <c r="B166" s="8" t="s">
        <v>170</v>
      </c>
      <c r="C166" s="8" t="s">
        <v>201</v>
      </c>
      <c r="D166" s="9">
        <v>44855</v>
      </c>
      <c r="E166" s="8">
        <v>9</v>
      </c>
      <c r="F166" s="8">
        <v>0.41180555555555554</v>
      </c>
      <c r="G166" s="8">
        <v>0.4770833333333333</v>
      </c>
      <c r="H166" s="8">
        <v>0.38263888888888892</v>
      </c>
      <c r="I166" s="8" t="s">
        <v>171</v>
      </c>
      <c r="J166" s="11">
        <v>6.2499999999999995E-3</v>
      </c>
      <c r="K166" s="10">
        <v>-9202</v>
      </c>
      <c r="L166" s="8">
        <v>0.54652777777777783</v>
      </c>
      <c r="M166" s="10">
        <v>163994</v>
      </c>
      <c r="N166" s="8">
        <v>0.30763888888888891</v>
      </c>
      <c r="O166" s="8">
        <v>77</v>
      </c>
      <c r="P166" s="8">
        <v>194165</v>
      </c>
      <c r="Q166" s="8">
        <f>YEAR(Table13[[#This Row],[release_date]])</f>
        <v>2022</v>
      </c>
      <c r="R166" s="8">
        <f>ROUND(Table13[[#This Row],[duration_ms]]/60000,2)</f>
        <v>3.24</v>
      </c>
      <c r="S166" s="8" t="str">
        <f>IF(Table13[[#This Row],[valence]]&gt;=0.6, "Happy", IF(Table13[[#This Row],[valence]]&gt;=0.4, "Neutral", "Sad"))</f>
        <v>Sad</v>
      </c>
      <c r="T166" s="8" t="str">
        <f>IF(Table13[[#This Row],[energy]]&gt;=0.7, "High Energy", IF(Table13[[#This Row],[energy]]&gt;=0.4, "Medium Energy", "Low Energy"))</f>
        <v>Low Energy</v>
      </c>
      <c r="U166" s="17" t="str">
        <f>IF(Table13[[#This Row],[popularity]]&gt;70, "Popular", IF(Table13[[#This Row],[popularity]]&lt;40, "Less Popular", "Mid"))</f>
        <v>Popular</v>
      </c>
    </row>
    <row r="167" spans="2:21" x14ac:dyDescent="0.3">
      <c r="B167" s="8" t="s">
        <v>172</v>
      </c>
      <c r="C167" s="8" t="s">
        <v>201</v>
      </c>
      <c r="D167" s="9">
        <v>44855</v>
      </c>
      <c r="E167" s="8">
        <v>10</v>
      </c>
      <c r="F167" s="8">
        <v>0.55347222222222225</v>
      </c>
      <c r="G167" s="11">
        <v>3.3333333333333333E-2</v>
      </c>
      <c r="H167" s="8">
        <v>0.20486111111111113</v>
      </c>
      <c r="I167" s="8">
        <v>0.23124999999999998</v>
      </c>
      <c r="J167" s="11">
        <v>8.3333333333333332E-3</v>
      </c>
      <c r="K167" s="10">
        <v>-15512</v>
      </c>
      <c r="L167" s="8">
        <v>0.26666666666666666</v>
      </c>
      <c r="M167" s="10">
        <v>110018</v>
      </c>
      <c r="N167" s="8">
        <v>9.1666666666666674E-2</v>
      </c>
      <c r="O167" s="8">
        <v>70</v>
      </c>
      <c r="P167" s="8">
        <v>247962</v>
      </c>
      <c r="Q167" s="8">
        <f>YEAR(Table13[[#This Row],[release_date]])</f>
        <v>2022</v>
      </c>
      <c r="R167" s="8">
        <f>ROUND(Table13[[#This Row],[duration_ms]]/60000,2)</f>
        <v>4.13</v>
      </c>
      <c r="S167" s="8" t="str">
        <f>IF(Table13[[#This Row],[valence]]&gt;=0.6, "Happy", IF(Table13[[#This Row],[valence]]&gt;=0.4, "Neutral", "Sad"))</f>
        <v>Sad</v>
      </c>
      <c r="T167" s="8" t="str">
        <f>IF(Table13[[#This Row],[energy]]&gt;=0.7, "High Energy", IF(Table13[[#This Row],[energy]]&gt;=0.4, "Medium Energy", "Low Energy"))</f>
        <v>Low Energy</v>
      </c>
      <c r="U167" s="17" t="str">
        <f>IF(Table13[[#This Row],[popularity]]&gt;70, "Popular", IF(Table13[[#This Row],[popularity]]&lt;40, "Less Popular", "Mid"))</f>
        <v>Mid</v>
      </c>
    </row>
    <row r="168" spans="2:21" x14ac:dyDescent="0.3">
      <c r="B168" s="8" t="s">
        <v>173</v>
      </c>
      <c r="C168" s="8" t="s">
        <v>201</v>
      </c>
      <c r="D168" s="9">
        <v>44855</v>
      </c>
      <c r="E168" s="8">
        <v>11</v>
      </c>
      <c r="F168" s="8" t="s">
        <v>160</v>
      </c>
      <c r="G168" s="8">
        <v>4.4444444444444446E-2</v>
      </c>
      <c r="H168" s="8">
        <v>0.42986111111111108</v>
      </c>
      <c r="I168" s="11">
        <v>0</v>
      </c>
      <c r="J168" s="8">
        <v>0.3298611111111111</v>
      </c>
      <c r="K168" s="10">
        <v>-7108</v>
      </c>
      <c r="L168" s="8" t="s">
        <v>174</v>
      </c>
      <c r="M168" s="10">
        <v>90008</v>
      </c>
      <c r="N168" s="8">
        <v>8.4027777777777771E-2</v>
      </c>
      <c r="O168" s="8">
        <v>80</v>
      </c>
      <c r="P168" s="8">
        <v>204852</v>
      </c>
      <c r="Q168" s="8">
        <f>YEAR(Table13[[#This Row],[release_date]])</f>
        <v>2022</v>
      </c>
      <c r="R168" s="8">
        <f>ROUND(Table13[[#This Row],[duration_ms]]/60000,2)</f>
        <v>3.41</v>
      </c>
      <c r="S168" s="8" t="str">
        <f>IF(Table13[[#This Row],[valence]]&gt;=0.6, "Happy", IF(Table13[[#This Row],[valence]]&gt;=0.4, "Neutral", "Sad"))</f>
        <v>Sad</v>
      </c>
      <c r="T168" s="8" t="str">
        <f>IF(Table13[[#This Row],[energy]]&gt;=0.7, "High Energy", IF(Table13[[#This Row],[energy]]&gt;=0.4, "Medium Energy", "Low Energy"))</f>
        <v>Medium Energy</v>
      </c>
      <c r="U168" s="17" t="str">
        <f>IF(Table13[[#This Row],[popularity]]&gt;70, "Popular", IF(Table13[[#This Row],[popularity]]&lt;40, "Less Popular", "Mid"))</f>
        <v>Popular</v>
      </c>
    </row>
    <row r="169" spans="2:21" x14ac:dyDescent="0.3">
      <c r="B169" s="8" t="s">
        <v>175</v>
      </c>
      <c r="C169" s="8" t="s">
        <v>201</v>
      </c>
      <c r="D169" s="9">
        <v>44855</v>
      </c>
      <c r="E169" s="8">
        <v>12</v>
      </c>
      <c r="F169" s="8">
        <v>0.67222222222222217</v>
      </c>
      <c r="G169" s="8">
        <v>0.23333333333333331</v>
      </c>
      <c r="H169" s="8">
        <v>0.11180555555555555</v>
      </c>
      <c r="I169" s="8" t="s">
        <v>176</v>
      </c>
      <c r="J169" s="8">
        <v>7.9861111111111119E-2</v>
      </c>
      <c r="K169" s="10">
        <v>-14973</v>
      </c>
      <c r="L169" s="8">
        <v>0.31666666666666665</v>
      </c>
      <c r="M169" s="14">
        <v>7.3666666666666671</v>
      </c>
      <c r="N169" s="8">
        <v>0.28263888888888888</v>
      </c>
      <c r="O169" s="8">
        <v>69</v>
      </c>
      <c r="P169" s="8">
        <v>188496</v>
      </c>
      <c r="Q169" s="8">
        <f>YEAR(Table13[[#This Row],[release_date]])</f>
        <v>2022</v>
      </c>
      <c r="R169" s="8">
        <f>ROUND(Table13[[#This Row],[duration_ms]]/60000,2)</f>
        <v>3.14</v>
      </c>
      <c r="S169" s="8" t="str">
        <f>IF(Table13[[#This Row],[valence]]&gt;=0.6, "Happy", IF(Table13[[#This Row],[valence]]&gt;=0.4, "Neutral", "Sad"))</f>
        <v>Sad</v>
      </c>
      <c r="T169" s="8" t="str">
        <f>IF(Table13[[#This Row],[energy]]&gt;=0.7, "High Energy", IF(Table13[[#This Row],[energy]]&gt;=0.4, "Medium Energy", "Low Energy"))</f>
        <v>Low Energy</v>
      </c>
      <c r="U169" s="17" t="str">
        <f>IF(Table13[[#This Row],[popularity]]&gt;70, "Popular", IF(Table13[[#This Row],[popularity]]&lt;40, "Less Popular", "Mid"))</f>
        <v>Mid</v>
      </c>
    </row>
    <row r="170" spans="2:21" x14ac:dyDescent="0.3">
      <c r="B170" s="8" t="s">
        <v>177</v>
      </c>
      <c r="C170" s="8" t="s">
        <v>201</v>
      </c>
      <c r="D170" s="9">
        <v>44855</v>
      </c>
      <c r="E170" s="8">
        <v>13</v>
      </c>
      <c r="F170" s="8">
        <v>0.3923611111111111</v>
      </c>
      <c r="G170" s="8">
        <v>4.5833333333333337E-2</v>
      </c>
      <c r="H170" s="8">
        <v>0.23819444444444446</v>
      </c>
      <c r="I170" s="8" t="s">
        <v>178</v>
      </c>
      <c r="J170" s="8">
        <v>0.64027777777777783</v>
      </c>
      <c r="K170" s="10">
        <v>-14132</v>
      </c>
      <c r="L170" s="11">
        <v>9.7222222222222224E-3</v>
      </c>
      <c r="M170" s="8" t="s">
        <v>179</v>
      </c>
      <c r="N170" s="8">
        <v>9.5138888888888884E-2</v>
      </c>
      <c r="O170" s="8">
        <v>72</v>
      </c>
      <c r="P170" s="8">
        <v>191039</v>
      </c>
      <c r="Q170" s="8">
        <f>YEAR(Table13[[#This Row],[release_date]])</f>
        <v>2022</v>
      </c>
      <c r="R170" s="8">
        <f>ROUND(Table13[[#This Row],[duration_ms]]/60000,2)</f>
        <v>3.18</v>
      </c>
      <c r="S170" s="8" t="str">
        <f>IF(Table13[[#This Row],[valence]]&gt;=0.6, "Happy", IF(Table13[[#This Row],[valence]]&gt;=0.4, "Neutral", "Sad"))</f>
        <v>Sad</v>
      </c>
      <c r="T170" s="8" t="str">
        <f>IF(Table13[[#This Row],[energy]]&gt;=0.7, "High Energy", IF(Table13[[#This Row],[energy]]&gt;=0.4, "Medium Energy", "Low Energy"))</f>
        <v>Low Energy</v>
      </c>
      <c r="U170" s="17" t="str">
        <f>IF(Table13[[#This Row],[popularity]]&gt;70, "Popular", IF(Table13[[#This Row],[popularity]]&lt;40, "Less Popular", "Mid"))</f>
        <v>Popular</v>
      </c>
    </row>
    <row r="171" spans="2:21" x14ac:dyDescent="0.3">
      <c r="B171" s="8" t="s">
        <v>202</v>
      </c>
      <c r="C171" s="8" t="s">
        <v>203</v>
      </c>
      <c r="D171" s="9">
        <v>44512</v>
      </c>
      <c r="E171" s="8">
        <v>1</v>
      </c>
      <c r="F171" s="8" t="s">
        <v>204</v>
      </c>
      <c r="G171" s="8">
        <v>0.41250000000000003</v>
      </c>
      <c r="H171" s="8">
        <v>0.49513888888888885</v>
      </c>
      <c r="I171" s="11">
        <v>0</v>
      </c>
      <c r="J171" s="8">
        <v>7.9166666666666663E-2</v>
      </c>
      <c r="K171" s="10">
        <v>-5314</v>
      </c>
      <c r="L171" s="8">
        <v>0.34930555555555554</v>
      </c>
      <c r="M171" s="10">
        <v>129958</v>
      </c>
      <c r="N171" s="8">
        <v>0.22777777777777777</v>
      </c>
      <c r="O171" s="8">
        <v>65</v>
      </c>
      <c r="P171" s="8">
        <v>295413</v>
      </c>
      <c r="Q171" s="8">
        <f>YEAR(Table13[[#This Row],[release_date]])</f>
        <v>2021</v>
      </c>
      <c r="R171" s="8">
        <f>ROUND(Table13[[#This Row],[duration_ms]]/60000,2)</f>
        <v>4.92</v>
      </c>
      <c r="S171" s="8" t="str">
        <f>IF(Table13[[#This Row],[valence]]&gt;=0.6, "Happy", IF(Table13[[#This Row],[valence]]&gt;=0.4, "Neutral", "Sad"))</f>
        <v>Sad</v>
      </c>
      <c r="T171" s="8" t="str">
        <f>IF(Table13[[#This Row],[energy]]&gt;=0.7, "High Energy", IF(Table13[[#This Row],[energy]]&gt;=0.4, "Medium Energy", "Low Energy"))</f>
        <v>Medium Energy</v>
      </c>
      <c r="U171" s="17" t="str">
        <f>IF(Table13[[#This Row],[popularity]]&gt;70, "Popular", IF(Table13[[#This Row],[popularity]]&lt;40, "Less Popular", "Mid"))</f>
        <v>Mid</v>
      </c>
    </row>
    <row r="172" spans="2:21" x14ac:dyDescent="0.3">
      <c r="B172" s="8" t="s">
        <v>203</v>
      </c>
      <c r="C172" s="8" t="s">
        <v>203</v>
      </c>
      <c r="D172" s="9">
        <v>44512</v>
      </c>
      <c r="E172" s="8">
        <v>2</v>
      </c>
      <c r="F172" s="8" t="s">
        <v>205</v>
      </c>
      <c r="G172" s="8">
        <v>0.35833333333333334</v>
      </c>
      <c r="H172" s="8">
        <v>0.5395833333333333</v>
      </c>
      <c r="I172" s="8" t="s">
        <v>206</v>
      </c>
      <c r="J172" s="8">
        <v>0.52847222222222223</v>
      </c>
      <c r="K172" s="10">
        <v>-4908</v>
      </c>
      <c r="L172" s="8">
        <v>0.26041666666666669</v>
      </c>
      <c r="M172" s="10">
        <v>125047</v>
      </c>
      <c r="N172" s="8">
        <v>0.28333333333333333</v>
      </c>
      <c r="O172" s="8">
        <v>73</v>
      </c>
      <c r="P172" s="8">
        <v>223093</v>
      </c>
      <c r="Q172" s="8">
        <f>YEAR(Table13[[#This Row],[release_date]])</f>
        <v>2021</v>
      </c>
      <c r="R172" s="8">
        <f>ROUND(Table13[[#This Row],[duration_ms]]/60000,2)</f>
        <v>3.72</v>
      </c>
      <c r="S172" s="8" t="str">
        <f>IF(Table13[[#This Row],[valence]]&gt;=0.6, "Happy", IF(Table13[[#This Row],[valence]]&gt;=0.4, "Neutral", "Sad"))</f>
        <v>Sad</v>
      </c>
      <c r="T172" s="8" t="str">
        <f>IF(Table13[[#This Row],[energy]]&gt;=0.7, "High Energy", IF(Table13[[#This Row],[energy]]&gt;=0.4, "Medium Energy", "Low Energy"))</f>
        <v>Medium Energy</v>
      </c>
      <c r="U172" s="17" t="str">
        <f>IF(Table13[[#This Row],[popularity]]&gt;70, "Popular", IF(Table13[[#This Row],[popularity]]&lt;40, "Less Popular", "Mid"))</f>
        <v>Popular</v>
      </c>
    </row>
    <row r="173" spans="2:21" x14ac:dyDescent="0.3">
      <c r="B173" s="8" t="s">
        <v>207</v>
      </c>
      <c r="C173" s="8" t="s">
        <v>203</v>
      </c>
      <c r="D173" s="9">
        <v>44512</v>
      </c>
      <c r="E173" s="8">
        <v>3</v>
      </c>
      <c r="F173" s="8">
        <v>0.2388888888888889</v>
      </c>
      <c r="G173" s="8">
        <v>0.44791666666666669</v>
      </c>
      <c r="H173" s="8">
        <v>0.41180555555555554</v>
      </c>
      <c r="I173" s="8" t="s">
        <v>208</v>
      </c>
      <c r="J173" s="11">
        <v>9.0277777777777787E-3</v>
      </c>
      <c r="K173" s="10">
        <v>-6506</v>
      </c>
      <c r="L173" s="8">
        <v>0.19999999999999998</v>
      </c>
      <c r="M173" s="10">
        <v>109984</v>
      </c>
      <c r="N173" s="8">
        <v>0.2076388888888889</v>
      </c>
      <c r="O173" s="8">
        <v>65</v>
      </c>
      <c r="P173" s="8">
        <v>242720</v>
      </c>
      <c r="Q173" s="8">
        <f>YEAR(Table13[[#This Row],[release_date]])</f>
        <v>2021</v>
      </c>
      <c r="R173" s="8">
        <f>ROUND(Table13[[#This Row],[duration_ms]]/60000,2)</f>
        <v>4.05</v>
      </c>
      <c r="S173" s="8" t="str">
        <f>IF(Table13[[#This Row],[valence]]&gt;=0.6, "Happy", IF(Table13[[#This Row],[valence]]&gt;=0.4, "Neutral", "Sad"))</f>
        <v>Sad</v>
      </c>
      <c r="T173" s="8" t="str">
        <f>IF(Table13[[#This Row],[energy]]&gt;=0.7, "High Energy", IF(Table13[[#This Row],[energy]]&gt;=0.4, "Medium Energy", "Low Energy"))</f>
        <v>Medium Energy</v>
      </c>
      <c r="U173" s="17" t="str">
        <f>IF(Table13[[#This Row],[popularity]]&gt;70, "Popular", IF(Table13[[#This Row],[popularity]]&lt;40, "Less Popular", "Mid"))</f>
        <v>Mid</v>
      </c>
    </row>
    <row r="174" spans="2:21" x14ac:dyDescent="0.3">
      <c r="B174" s="8" t="s">
        <v>209</v>
      </c>
      <c r="C174" s="8" t="s">
        <v>203</v>
      </c>
      <c r="D174" s="9">
        <v>44512</v>
      </c>
      <c r="E174" s="8">
        <v>4</v>
      </c>
      <c r="F174" s="8">
        <v>8.9583333333333334E-2</v>
      </c>
      <c r="G174" s="8">
        <v>0.4055555555555555</v>
      </c>
      <c r="H174" s="8">
        <v>0.38680555555555557</v>
      </c>
      <c r="I174" s="11">
        <v>0</v>
      </c>
      <c r="J174" s="8">
        <v>0.39999999999999997</v>
      </c>
      <c r="K174" s="10">
        <v>-6371</v>
      </c>
      <c r="L174" s="8">
        <v>0.23750000000000002</v>
      </c>
      <c r="M174" s="10">
        <v>154008</v>
      </c>
      <c r="N174" s="8">
        <v>0.53263888888888888</v>
      </c>
      <c r="O174" s="8">
        <v>76</v>
      </c>
      <c r="P174" s="8">
        <v>219760</v>
      </c>
      <c r="Q174" s="8">
        <f>YEAR(Table13[[#This Row],[release_date]])</f>
        <v>2021</v>
      </c>
      <c r="R174" s="8">
        <f>ROUND(Table13[[#This Row],[duration_ms]]/60000,2)</f>
        <v>3.66</v>
      </c>
      <c r="S174" s="8" t="str">
        <f>IF(Table13[[#This Row],[valence]]&gt;=0.6, "Happy", IF(Table13[[#This Row],[valence]]&gt;=0.4, "Neutral", "Sad"))</f>
        <v>Neutral</v>
      </c>
      <c r="T174" s="8" t="str">
        <f>IF(Table13[[#This Row],[energy]]&gt;=0.7, "High Energy", IF(Table13[[#This Row],[energy]]&gt;=0.4, "Medium Energy", "Low Energy"))</f>
        <v>Low Energy</v>
      </c>
      <c r="U174" s="17" t="str">
        <f>IF(Table13[[#This Row],[popularity]]&gt;70, "Popular", IF(Table13[[#This Row],[popularity]]&lt;40, "Less Popular", "Mid"))</f>
        <v>Popular</v>
      </c>
    </row>
    <row r="175" spans="2:21" x14ac:dyDescent="0.3">
      <c r="B175" s="8" t="s">
        <v>210</v>
      </c>
      <c r="C175" s="8" t="s">
        <v>203</v>
      </c>
      <c r="D175" s="9">
        <v>44512</v>
      </c>
      <c r="E175" s="8">
        <v>5</v>
      </c>
      <c r="F175" s="8">
        <v>0.11875000000000001</v>
      </c>
      <c r="G175" s="11">
        <v>3.0555555555555555E-2</v>
      </c>
      <c r="H175" s="8">
        <v>0.3666666666666667</v>
      </c>
      <c r="I175" s="8" t="s">
        <v>211</v>
      </c>
      <c r="J175" s="8">
        <v>0.16250000000000001</v>
      </c>
      <c r="K175" s="10">
        <v>-7809</v>
      </c>
      <c r="L175" s="8">
        <v>0.22013888888888888</v>
      </c>
      <c r="M175" s="10">
        <v>185972</v>
      </c>
      <c r="N175" s="8">
        <v>9.1666666666666674E-2</v>
      </c>
      <c r="O175" s="8">
        <v>71</v>
      </c>
      <c r="P175" s="8">
        <v>329160</v>
      </c>
      <c r="Q175" s="8">
        <f>YEAR(Table13[[#This Row],[release_date]])</f>
        <v>2021</v>
      </c>
      <c r="R175" s="8">
        <f>ROUND(Table13[[#This Row],[duration_ms]]/60000,2)</f>
        <v>5.49</v>
      </c>
      <c r="S175" s="8" t="str">
        <f>IF(Table13[[#This Row],[valence]]&gt;=0.6, "Happy", IF(Table13[[#This Row],[valence]]&gt;=0.4, "Neutral", "Sad"))</f>
        <v>Sad</v>
      </c>
      <c r="T175" s="8" t="str">
        <f>IF(Table13[[#This Row],[energy]]&gt;=0.7, "High Energy", IF(Table13[[#This Row],[energy]]&gt;=0.4, "Medium Energy", "Low Energy"))</f>
        <v>Low Energy</v>
      </c>
      <c r="U175" s="17" t="str">
        <f>IF(Table13[[#This Row],[popularity]]&gt;70, "Popular", IF(Table13[[#This Row],[popularity]]&lt;40, "Less Popular", "Mid"))</f>
        <v>Popular</v>
      </c>
    </row>
    <row r="176" spans="2:21" x14ac:dyDescent="0.3">
      <c r="B176" s="8" t="s">
        <v>212</v>
      </c>
      <c r="C176" s="8" t="s">
        <v>203</v>
      </c>
      <c r="D176" s="9">
        <v>44512</v>
      </c>
      <c r="E176" s="8">
        <v>6</v>
      </c>
      <c r="F176" s="8" t="s">
        <v>213</v>
      </c>
      <c r="G176" s="8">
        <v>0.4458333333333333</v>
      </c>
      <c r="H176" s="8">
        <v>0.4826388888888889</v>
      </c>
      <c r="I176" s="8" t="s">
        <v>214</v>
      </c>
      <c r="J176" s="8">
        <v>0.5229166666666667</v>
      </c>
      <c r="K176" s="8" t="s">
        <v>215</v>
      </c>
      <c r="L176" s="8">
        <v>0.19513888888888889</v>
      </c>
      <c r="M176" s="10">
        <v>103984</v>
      </c>
      <c r="N176" s="8">
        <v>0.4458333333333333</v>
      </c>
      <c r="O176" s="8">
        <v>76</v>
      </c>
      <c r="P176" s="8">
        <v>230960</v>
      </c>
      <c r="Q176" s="8">
        <f>YEAR(Table13[[#This Row],[release_date]])</f>
        <v>2021</v>
      </c>
      <c r="R176" s="8">
        <f>ROUND(Table13[[#This Row],[duration_ms]]/60000,2)</f>
        <v>3.85</v>
      </c>
      <c r="S176" s="8" t="str">
        <f>IF(Table13[[#This Row],[valence]]&gt;=0.6, "Happy", IF(Table13[[#This Row],[valence]]&gt;=0.4, "Neutral", "Sad"))</f>
        <v>Neutral</v>
      </c>
      <c r="T176" s="8" t="str">
        <f>IF(Table13[[#This Row],[energy]]&gt;=0.7, "High Energy", IF(Table13[[#This Row],[energy]]&gt;=0.4, "Medium Energy", "Low Energy"))</f>
        <v>Medium Energy</v>
      </c>
      <c r="U176" s="17" t="str">
        <f>IF(Table13[[#This Row],[popularity]]&gt;70, "Popular", IF(Table13[[#This Row],[popularity]]&lt;40, "Less Popular", "Mid"))</f>
        <v>Popular</v>
      </c>
    </row>
    <row r="177" spans="2:21" x14ac:dyDescent="0.3">
      <c r="B177" s="8" t="s">
        <v>216</v>
      </c>
      <c r="C177" s="8" t="s">
        <v>203</v>
      </c>
      <c r="D177" s="9">
        <v>44512</v>
      </c>
      <c r="E177" s="8">
        <v>7</v>
      </c>
      <c r="F177" s="8">
        <v>0.11597222222222221</v>
      </c>
      <c r="G177" s="8">
        <v>0.35486111111111113</v>
      </c>
      <c r="H177" s="8">
        <v>0.38819444444444445</v>
      </c>
      <c r="I177" s="11">
        <v>0</v>
      </c>
      <c r="J177" s="8">
        <v>7.8472222222222221E-2</v>
      </c>
      <c r="K177" s="10">
        <v>-6587</v>
      </c>
      <c r="L177" s="8">
        <v>0.18333333333333335</v>
      </c>
      <c r="M177" s="8" t="s">
        <v>217</v>
      </c>
      <c r="N177" s="8">
        <v>0.17222222222222225</v>
      </c>
      <c r="O177" s="8">
        <v>64</v>
      </c>
      <c r="P177" s="8">
        <v>244586</v>
      </c>
      <c r="Q177" s="8">
        <f>YEAR(Table13[[#This Row],[release_date]])</f>
        <v>2021</v>
      </c>
      <c r="R177" s="8">
        <f>ROUND(Table13[[#This Row],[duration_ms]]/60000,2)</f>
        <v>4.08</v>
      </c>
      <c r="S177" s="8" t="str">
        <f>IF(Table13[[#This Row],[valence]]&gt;=0.6, "Happy", IF(Table13[[#This Row],[valence]]&gt;=0.4, "Neutral", "Sad"))</f>
        <v>Sad</v>
      </c>
      <c r="T177" s="8" t="str">
        <f>IF(Table13[[#This Row],[energy]]&gt;=0.7, "High Energy", IF(Table13[[#This Row],[energy]]&gt;=0.4, "Medium Energy", "Low Energy"))</f>
        <v>Low Energy</v>
      </c>
      <c r="U177" s="17" t="str">
        <f>IF(Table13[[#This Row],[popularity]]&gt;70, "Popular", IF(Table13[[#This Row],[popularity]]&lt;40, "Less Popular", "Mid"))</f>
        <v>Mid</v>
      </c>
    </row>
    <row r="178" spans="2:21" x14ac:dyDescent="0.3">
      <c r="B178" s="8" t="s">
        <v>218</v>
      </c>
      <c r="C178" s="8" t="s">
        <v>203</v>
      </c>
      <c r="D178" s="9">
        <v>44512</v>
      </c>
      <c r="E178" s="8">
        <v>8</v>
      </c>
      <c r="F178" s="8">
        <v>0.22013888888888888</v>
      </c>
      <c r="G178" s="8">
        <v>0.39374999999999999</v>
      </c>
      <c r="H178" s="8">
        <v>0.47638888888888892</v>
      </c>
      <c r="I178" s="8" t="s">
        <v>219</v>
      </c>
      <c r="J178" s="8">
        <v>0.5083333333333333</v>
      </c>
      <c r="K178" s="10">
        <v>-6139</v>
      </c>
      <c r="L178" s="8">
        <v>0.12152777777777778</v>
      </c>
      <c r="M178" s="10">
        <v>172014</v>
      </c>
      <c r="N178" s="8">
        <v>0.49722222222222223</v>
      </c>
      <c r="O178" s="8">
        <v>76</v>
      </c>
      <c r="P178" s="8">
        <v>193146</v>
      </c>
      <c r="Q178" s="8">
        <f>YEAR(Table13[[#This Row],[release_date]])</f>
        <v>2021</v>
      </c>
      <c r="R178" s="8">
        <f>ROUND(Table13[[#This Row],[duration_ms]]/60000,2)</f>
        <v>3.22</v>
      </c>
      <c r="S178" s="8" t="str">
        <f>IF(Table13[[#This Row],[valence]]&gt;=0.6, "Happy", IF(Table13[[#This Row],[valence]]&gt;=0.4, "Neutral", "Sad"))</f>
        <v>Neutral</v>
      </c>
      <c r="T178" s="8" t="str">
        <f>IF(Table13[[#This Row],[energy]]&gt;=0.7, "High Energy", IF(Table13[[#This Row],[energy]]&gt;=0.4, "Medium Energy", "Low Energy"))</f>
        <v>Medium Energy</v>
      </c>
      <c r="U178" s="17" t="str">
        <f>IF(Table13[[#This Row],[popularity]]&gt;70, "Popular", IF(Table13[[#This Row],[popularity]]&lt;40, "Less Popular", "Mid"))</f>
        <v>Popular</v>
      </c>
    </row>
    <row r="179" spans="2:21" x14ac:dyDescent="0.3">
      <c r="B179" s="8" t="s">
        <v>220</v>
      </c>
      <c r="C179" s="8" t="s">
        <v>203</v>
      </c>
      <c r="D179" s="9">
        <v>44512</v>
      </c>
      <c r="E179" s="8">
        <v>9</v>
      </c>
      <c r="F179" s="8">
        <v>0.58888888888888891</v>
      </c>
      <c r="G179" s="8">
        <v>0.48125000000000001</v>
      </c>
      <c r="H179" s="8">
        <v>0.47291666666666665</v>
      </c>
      <c r="I179" s="11">
        <v>0</v>
      </c>
      <c r="J179" s="8">
        <v>0.53333333333333333</v>
      </c>
      <c r="K179" s="10">
        <v>-7039</v>
      </c>
      <c r="L179" s="8" t="s">
        <v>221</v>
      </c>
      <c r="M179" s="14">
        <v>4.1680555555555552</v>
      </c>
      <c r="N179" s="8">
        <v>0.4604166666666667</v>
      </c>
      <c r="O179" s="8">
        <v>64</v>
      </c>
      <c r="P179" s="8">
        <v>205786</v>
      </c>
      <c r="Q179" s="8">
        <f>YEAR(Table13[[#This Row],[release_date]])</f>
        <v>2021</v>
      </c>
      <c r="R179" s="8">
        <f>ROUND(Table13[[#This Row],[duration_ms]]/60000,2)</f>
        <v>3.43</v>
      </c>
      <c r="S179" s="8" t="str">
        <f>IF(Table13[[#This Row],[valence]]&gt;=0.6, "Happy", IF(Table13[[#This Row],[valence]]&gt;=0.4, "Neutral", "Sad"))</f>
        <v>Neutral</v>
      </c>
      <c r="T179" s="8" t="str">
        <f>IF(Table13[[#This Row],[energy]]&gt;=0.7, "High Energy", IF(Table13[[#This Row],[energy]]&gt;=0.4, "Medium Energy", "Low Energy"))</f>
        <v>Medium Energy</v>
      </c>
      <c r="U179" s="17" t="str">
        <f>IF(Table13[[#This Row],[popularity]]&gt;70, "Popular", IF(Table13[[#This Row],[popularity]]&lt;40, "Less Popular", "Mid"))</f>
        <v>Mid</v>
      </c>
    </row>
    <row r="180" spans="2:21" x14ac:dyDescent="0.3">
      <c r="B180" s="8" t="s">
        <v>222</v>
      </c>
      <c r="C180" s="8" t="s">
        <v>203</v>
      </c>
      <c r="D180" s="9">
        <v>44512</v>
      </c>
      <c r="E180" s="8">
        <v>10</v>
      </c>
      <c r="F180" s="8">
        <v>0.27708333333333335</v>
      </c>
      <c r="G180" s="8">
        <v>0.34861111111111115</v>
      </c>
      <c r="H180" s="8">
        <v>0.37083333333333335</v>
      </c>
      <c r="I180" s="11">
        <v>0</v>
      </c>
      <c r="J180" s="8">
        <v>0.67847222222222225</v>
      </c>
      <c r="K180" s="10">
        <v>-5954</v>
      </c>
      <c r="L180" s="8">
        <v>0.19305555555555556</v>
      </c>
      <c r="M180" s="14">
        <v>3.9201388888888888</v>
      </c>
      <c r="N180" s="8">
        <v>0.1076388888888889</v>
      </c>
      <c r="O180" s="8">
        <v>67</v>
      </c>
      <c r="P180" s="8">
        <v>299080</v>
      </c>
      <c r="Q180" s="8">
        <f>YEAR(Table13[[#This Row],[release_date]])</f>
        <v>2021</v>
      </c>
      <c r="R180" s="8">
        <f>ROUND(Table13[[#This Row],[duration_ms]]/60000,2)</f>
        <v>4.9800000000000004</v>
      </c>
      <c r="S180" s="8" t="str">
        <f>IF(Table13[[#This Row],[valence]]&gt;=0.6, "Happy", IF(Table13[[#This Row],[valence]]&gt;=0.4, "Neutral", "Sad"))</f>
        <v>Sad</v>
      </c>
      <c r="T180" s="8" t="str">
        <f>IF(Table13[[#This Row],[energy]]&gt;=0.7, "High Energy", IF(Table13[[#This Row],[energy]]&gt;=0.4, "Medium Energy", "Low Energy"))</f>
        <v>Low Energy</v>
      </c>
      <c r="U180" s="17" t="str">
        <f>IF(Table13[[#This Row],[popularity]]&gt;70, "Popular", IF(Table13[[#This Row],[popularity]]&lt;40, "Less Popular", "Mid"))</f>
        <v>Mid</v>
      </c>
    </row>
    <row r="181" spans="2:21" x14ac:dyDescent="0.3">
      <c r="B181" s="8" t="s">
        <v>223</v>
      </c>
      <c r="C181" s="8" t="s">
        <v>203</v>
      </c>
      <c r="D181" s="9">
        <v>44512</v>
      </c>
      <c r="E181" s="8">
        <v>11</v>
      </c>
      <c r="F181" s="8">
        <v>0.19999999999999998</v>
      </c>
      <c r="G181" s="8">
        <v>0.43194444444444446</v>
      </c>
      <c r="H181" s="8">
        <v>0.56180555555555556</v>
      </c>
      <c r="I181" s="8" t="s">
        <v>224</v>
      </c>
      <c r="J181" s="8">
        <v>7.5694444444444439E-2</v>
      </c>
      <c r="K181" s="10">
        <v>-5623</v>
      </c>
      <c r="L181" s="8">
        <v>0.44305555555555554</v>
      </c>
      <c r="M181" s="10">
        <v>156894</v>
      </c>
      <c r="N181" s="8">
        <v>0.35486111111111113</v>
      </c>
      <c r="O181" s="8">
        <v>64</v>
      </c>
      <c r="P181" s="8">
        <v>202960</v>
      </c>
      <c r="Q181" s="8">
        <f>YEAR(Table13[[#This Row],[release_date]])</f>
        <v>2021</v>
      </c>
      <c r="R181" s="8">
        <f>ROUND(Table13[[#This Row],[duration_ms]]/60000,2)</f>
        <v>3.38</v>
      </c>
      <c r="S181" s="8" t="str">
        <f>IF(Table13[[#This Row],[valence]]&gt;=0.6, "Happy", IF(Table13[[#This Row],[valence]]&gt;=0.4, "Neutral", "Sad"))</f>
        <v>Sad</v>
      </c>
      <c r="T181" s="8" t="str">
        <f>IF(Table13[[#This Row],[energy]]&gt;=0.7, "High Energy", IF(Table13[[#This Row],[energy]]&gt;=0.4, "Medium Energy", "Low Energy"))</f>
        <v>Medium Energy</v>
      </c>
      <c r="U181" s="17" t="str">
        <f>IF(Table13[[#This Row],[popularity]]&gt;70, "Popular", IF(Table13[[#This Row],[popularity]]&lt;40, "Less Popular", "Mid"))</f>
        <v>Mid</v>
      </c>
    </row>
    <row r="182" spans="2:21" x14ac:dyDescent="0.3">
      <c r="B182" s="8" t="s">
        <v>225</v>
      </c>
      <c r="C182" s="8" t="s">
        <v>203</v>
      </c>
      <c r="D182" s="9">
        <v>44512</v>
      </c>
      <c r="E182" s="8">
        <v>12</v>
      </c>
      <c r="F182" s="8">
        <v>0.43194444444444446</v>
      </c>
      <c r="G182" s="8">
        <v>0.41736111111111113</v>
      </c>
      <c r="H182" s="8">
        <v>0.28194444444444444</v>
      </c>
      <c r="I182" s="8" t="s">
        <v>226</v>
      </c>
      <c r="J182" s="8">
        <v>9.2361111111111116E-2</v>
      </c>
      <c r="K182" s="10">
        <v>-11827</v>
      </c>
      <c r="L182" s="8">
        <v>0.19097222222222221</v>
      </c>
      <c r="M182" s="10">
        <v>130059</v>
      </c>
      <c r="N182" s="8">
        <v>0.16111111111111112</v>
      </c>
      <c r="O182" s="8">
        <v>65</v>
      </c>
      <c r="P182" s="8">
        <v>284773</v>
      </c>
      <c r="Q182" s="8">
        <f>YEAR(Table13[[#This Row],[release_date]])</f>
        <v>2021</v>
      </c>
      <c r="R182" s="8">
        <f>ROUND(Table13[[#This Row],[duration_ms]]/60000,2)</f>
        <v>4.75</v>
      </c>
      <c r="S182" s="8" t="str">
        <f>IF(Table13[[#This Row],[valence]]&gt;=0.6, "Happy", IF(Table13[[#This Row],[valence]]&gt;=0.4, "Neutral", "Sad"))</f>
        <v>Sad</v>
      </c>
      <c r="T182" s="8" t="str">
        <f>IF(Table13[[#This Row],[energy]]&gt;=0.7, "High Energy", IF(Table13[[#This Row],[energy]]&gt;=0.4, "Medium Energy", "Low Energy"))</f>
        <v>Low Energy</v>
      </c>
      <c r="U182" s="17" t="str">
        <f>IF(Table13[[#This Row],[popularity]]&gt;70, "Popular", IF(Table13[[#This Row],[popularity]]&lt;40, "Less Popular", "Mid"))</f>
        <v>Mid</v>
      </c>
    </row>
    <row r="183" spans="2:21" x14ac:dyDescent="0.3">
      <c r="B183" s="8" t="s">
        <v>227</v>
      </c>
      <c r="C183" s="8" t="s">
        <v>203</v>
      </c>
      <c r="D183" s="9">
        <v>44512</v>
      </c>
      <c r="E183" s="8">
        <v>13</v>
      </c>
      <c r="F183" s="8" t="s">
        <v>228</v>
      </c>
      <c r="G183" s="8">
        <v>0.47638888888888892</v>
      </c>
      <c r="H183" s="8">
        <v>0.39652777777777781</v>
      </c>
      <c r="I183" s="11">
        <v>0</v>
      </c>
      <c r="J183" s="8">
        <v>0.42222222222222222</v>
      </c>
      <c r="K183" s="10">
        <v>-7138</v>
      </c>
      <c r="L183" s="11">
        <v>3.472222222222222E-3</v>
      </c>
      <c r="M183" s="10">
        <v>117889</v>
      </c>
      <c r="N183" s="8">
        <v>0.37361111111111112</v>
      </c>
      <c r="O183" s="8">
        <v>63</v>
      </c>
      <c r="P183" s="8">
        <v>240466</v>
      </c>
      <c r="Q183" s="8">
        <f>YEAR(Table13[[#This Row],[release_date]])</f>
        <v>2021</v>
      </c>
      <c r="R183" s="8">
        <f>ROUND(Table13[[#This Row],[duration_ms]]/60000,2)</f>
        <v>4.01</v>
      </c>
      <c r="S183" s="8" t="str">
        <f>IF(Table13[[#This Row],[valence]]&gt;=0.6, "Happy", IF(Table13[[#This Row],[valence]]&gt;=0.4, "Neutral", "Sad"))</f>
        <v>Sad</v>
      </c>
      <c r="T183" s="8" t="str">
        <f>IF(Table13[[#This Row],[energy]]&gt;=0.7, "High Energy", IF(Table13[[#This Row],[energy]]&gt;=0.4, "Medium Energy", "Low Energy"))</f>
        <v>Low Energy</v>
      </c>
      <c r="U183" s="17" t="str">
        <f>IF(Table13[[#This Row],[popularity]]&gt;70, "Popular", IF(Table13[[#This Row],[popularity]]&lt;40, "Less Popular", "Mid"))</f>
        <v>Mid</v>
      </c>
    </row>
    <row r="184" spans="2:21" x14ac:dyDescent="0.3">
      <c r="B184" s="8" t="s">
        <v>229</v>
      </c>
      <c r="C184" s="8" t="s">
        <v>203</v>
      </c>
      <c r="D184" s="9">
        <v>44512</v>
      </c>
      <c r="E184" s="8">
        <v>14</v>
      </c>
      <c r="F184" s="8">
        <v>0.18819444444444444</v>
      </c>
      <c r="G184" s="8">
        <v>0.34583333333333338</v>
      </c>
      <c r="H184" s="8">
        <v>4.2361111111111106E-2</v>
      </c>
      <c r="I184" s="11">
        <v>0</v>
      </c>
      <c r="J184" s="8">
        <v>0.15486111111111112</v>
      </c>
      <c r="K184" s="10">
        <v>-5098</v>
      </c>
      <c r="L184" s="8">
        <v>0.25208333333333333</v>
      </c>
      <c r="M184" s="10">
        <v>79918</v>
      </c>
      <c r="N184" s="8">
        <v>0.32916666666666666</v>
      </c>
      <c r="O184" s="8">
        <v>70</v>
      </c>
      <c r="P184" s="8">
        <v>245426</v>
      </c>
      <c r="Q184" s="8">
        <f>YEAR(Table13[[#This Row],[release_date]])</f>
        <v>2021</v>
      </c>
      <c r="R184" s="8">
        <f>ROUND(Table13[[#This Row],[duration_ms]]/60000,2)</f>
        <v>4.09</v>
      </c>
      <c r="S184" s="8" t="str">
        <f>IF(Table13[[#This Row],[valence]]&gt;=0.6, "Happy", IF(Table13[[#This Row],[valence]]&gt;=0.4, "Neutral", "Sad"))</f>
        <v>Sad</v>
      </c>
      <c r="T184" s="8" t="str">
        <f>IF(Table13[[#This Row],[energy]]&gt;=0.7, "High Energy", IF(Table13[[#This Row],[energy]]&gt;=0.4, "Medium Energy", "Low Energy"))</f>
        <v>Low Energy</v>
      </c>
      <c r="U184" s="17" t="str">
        <f>IF(Table13[[#This Row],[popularity]]&gt;70, "Popular", IF(Table13[[#This Row],[popularity]]&lt;40, "Less Popular", "Mid"))</f>
        <v>Mid</v>
      </c>
    </row>
    <row r="185" spans="2:21" x14ac:dyDescent="0.3">
      <c r="B185" s="8" t="s">
        <v>230</v>
      </c>
      <c r="C185" s="8" t="s">
        <v>203</v>
      </c>
      <c r="D185" s="9">
        <v>44512</v>
      </c>
      <c r="E185" s="8">
        <v>15</v>
      </c>
      <c r="F185" s="8" t="s">
        <v>231</v>
      </c>
      <c r="G185" s="8">
        <v>0.43611111111111112</v>
      </c>
      <c r="H185" s="8">
        <v>0.47569444444444442</v>
      </c>
      <c r="I185" s="11">
        <v>0</v>
      </c>
      <c r="J185" s="11">
        <v>1.2499999999999999E-2</v>
      </c>
      <c r="K185" s="10">
        <v>-5864</v>
      </c>
      <c r="L185" s="8">
        <v>0.24861111111111112</v>
      </c>
      <c r="M185" s="10">
        <v>126014</v>
      </c>
      <c r="N185" s="8">
        <v>0.4201388888888889</v>
      </c>
      <c r="O185" s="8">
        <v>63</v>
      </c>
      <c r="P185" s="8">
        <v>220413</v>
      </c>
      <c r="Q185" s="8">
        <f>YEAR(Table13[[#This Row],[release_date]])</f>
        <v>2021</v>
      </c>
      <c r="R185" s="8">
        <f>ROUND(Table13[[#This Row],[duration_ms]]/60000,2)</f>
        <v>3.67</v>
      </c>
      <c r="S185" s="8" t="str">
        <f>IF(Table13[[#This Row],[valence]]&gt;=0.6, "Happy", IF(Table13[[#This Row],[valence]]&gt;=0.4, "Neutral", "Sad"))</f>
        <v>Neutral</v>
      </c>
      <c r="T185" s="8" t="str">
        <f>IF(Table13[[#This Row],[energy]]&gt;=0.7, "High Energy", IF(Table13[[#This Row],[energy]]&gt;=0.4, "Medium Energy", "Low Energy"))</f>
        <v>Medium Energy</v>
      </c>
      <c r="U185" s="17" t="str">
        <f>IF(Table13[[#This Row],[popularity]]&gt;70, "Popular", IF(Table13[[#This Row],[popularity]]&lt;40, "Less Popular", "Mid"))</f>
        <v>Mid</v>
      </c>
    </row>
    <row r="186" spans="2:21" x14ac:dyDescent="0.3">
      <c r="B186" s="8" t="s">
        <v>232</v>
      </c>
      <c r="C186" s="8" t="s">
        <v>203</v>
      </c>
      <c r="D186" s="9">
        <v>44512</v>
      </c>
      <c r="E186" s="8">
        <v>16</v>
      </c>
      <c r="F186" s="8" t="s">
        <v>233</v>
      </c>
      <c r="G186" s="8">
        <v>0.36041666666666666</v>
      </c>
      <c r="H186" s="8">
        <v>0.3659722222222222</v>
      </c>
      <c r="I186" s="11">
        <v>0</v>
      </c>
      <c r="J186" s="8">
        <v>9.1666666666666674E-2</v>
      </c>
      <c r="K186" s="10">
        <v>-7673</v>
      </c>
      <c r="L186" s="8">
        <v>0.19027777777777777</v>
      </c>
      <c r="M186" s="10">
        <v>78915</v>
      </c>
      <c r="N186" s="8">
        <v>0.18541666666666667</v>
      </c>
      <c r="O186" s="8">
        <v>66</v>
      </c>
      <c r="P186" s="8">
        <v>238866</v>
      </c>
      <c r="Q186" s="8">
        <f>YEAR(Table13[[#This Row],[release_date]])</f>
        <v>2021</v>
      </c>
      <c r="R186" s="8">
        <f>ROUND(Table13[[#This Row],[duration_ms]]/60000,2)</f>
        <v>3.98</v>
      </c>
      <c r="S186" s="8" t="str">
        <f>IF(Table13[[#This Row],[valence]]&gt;=0.6, "Happy", IF(Table13[[#This Row],[valence]]&gt;=0.4, "Neutral", "Sad"))</f>
        <v>Sad</v>
      </c>
      <c r="T186" s="8" t="str">
        <f>IF(Table13[[#This Row],[energy]]&gt;=0.7, "High Energy", IF(Table13[[#This Row],[energy]]&gt;=0.4, "Medium Energy", "Low Energy"))</f>
        <v>Low Energy</v>
      </c>
      <c r="U186" s="17" t="str">
        <f>IF(Table13[[#This Row],[popularity]]&gt;70, "Popular", IF(Table13[[#This Row],[popularity]]&lt;40, "Less Popular", "Mid"))</f>
        <v>Mid</v>
      </c>
    </row>
    <row r="187" spans="2:21" x14ac:dyDescent="0.3">
      <c r="B187" s="8" t="s">
        <v>234</v>
      </c>
      <c r="C187" s="8" t="s">
        <v>203</v>
      </c>
      <c r="D187" s="9">
        <v>44512</v>
      </c>
      <c r="E187" s="8">
        <v>17</v>
      </c>
      <c r="F187" s="8">
        <v>0.3430555555555555</v>
      </c>
      <c r="G187" s="8">
        <v>0.44166666666666665</v>
      </c>
      <c r="H187" s="8">
        <v>0.27916666666666667</v>
      </c>
      <c r="I187" s="11">
        <v>0</v>
      </c>
      <c r="J187" s="8">
        <v>7.4305555555555555E-2</v>
      </c>
      <c r="K187" s="10">
        <v>-7855</v>
      </c>
      <c r="L187" s="8" t="s">
        <v>235</v>
      </c>
      <c r="M187" s="10">
        <v>125952</v>
      </c>
      <c r="N187" s="8">
        <v>0.14444444444444446</v>
      </c>
      <c r="O187" s="8">
        <v>63</v>
      </c>
      <c r="P187" s="8">
        <v>285280</v>
      </c>
      <c r="Q187" s="8">
        <f>YEAR(Table13[[#This Row],[release_date]])</f>
        <v>2021</v>
      </c>
      <c r="R187" s="8">
        <f>ROUND(Table13[[#This Row],[duration_ms]]/60000,2)</f>
        <v>4.75</v>
      </c>
      <c r="S187" s="8" t="str">
        <f>IF(Table13[[#This Row],[valence]]&gt;=0.6, "Happy", IF(Table13[[#This Row],[valence]]&gt;=0.4, "Neutral", "Sad"))</f>
        <v>Sad</v>
      </c>
      <c r="T187" s="8" t="str">
        <f>IF(Table13[[#This Row],[energy]]&gt;=0.7, "High Energy", IF(Table13[[#This Row],[energy]]&gt;=0.4, "Medium Energy", "Low Energy"))</f>
        <v>Low Energy</v>
      </c>
      <c r="U187" s="17" t="str">
        <f>IF(Table13[[#This Row],[popularity]]&gt;70, "Popular", IF(Table13[[#This Row],[popularity]]&lt;40, "Less Popular", "Mid"))</f>
        <v>Mid</v>
      </c>
    </row>
    <row r="188" spans="2:21" x14ac:dyDescent="0.3">
      <c r="B188" s="8" t="s">
        <v>236</v>
      </c>
      <c r="C188" s="8" t="s">
        <v>203</v>
      </c>
      <c r="D188" s="9">
        <v>44512</v>
      </c>
      <c r="E188" s="8">
        <v>18</v>
      </c>
      <c r="F188" s="8">
        <v>0.10972222222222222</v>
      </c>
      <c r="G188" s="11">
        <v>3.1944444444444449E-2</v>
      </c>
      <c r="H188" s="8">
        <v>0.43888888888888888</v>
      </c>
      <c r="I188" s="11">
        <v>0</v>
      </c>
      <c r="J188" s="8">
        <v>0.5708333333333333</v>
      </c>
      <c r="K188" s="10">
        <v>-6031</v>
      </c>
      <c r="L188" s="8">
        <v>0.20972222222222223</v>
      </c>
      <c r="M188" s="10">
        <v>79846</v>
      </c>
      <c r="N188" s="8">
        <v>0.27708333333333335</v>
      </c>
      <c r="O188" s="8">
        <v>66</v>
      </c>
      <c r="P188" s="8">
        <v>223333</v>
      </c>
      <c r="Q188" s="8">
        <f>YEAR(Table13[[#This Row],[release_date]])</f>
        <v>2021</v>
      </c>
      <c r="R188" s="8">
        <f>ROUND(Table13[[#This Row],[duration_ms]]/60000,2)</f>
        <v>3.72</v>
      </c>
      <c r="S188" s="8" t="str">
        <f>IF(Table13[[#This Row],[valence]]&gt;=0.6, "Happy", IF(Table13[[#This Row],[valence]]&gt;=0.4, "Neutral", "Sad"))</f>
        <v>Sad</v>
      </c>
      <c r="T188" s="8" t="str">
        <f>IF(Table13[[#This Row],[energy]]&gt;=0.7, "High Energy", IF(Table13[[#This Row],[energy]]&gt;=0.4, "Medium Energy", "Low Energy"))</f>
        <v>Medium Energy</v>
      </c>
      <c r="U188" s="17" t="str">
        <f>IF(Table13[[#This Row],[popularity]]&gt;70, "Popular", IF(Table13[[#This Row],[popularity]]&lt;40, "Less Popular", "Mid"))</f>
        <v>Mid</v>
      </c>
    </row>
    <row r="189" spans="2:21" x14ac:dyDescent="0.3">
      <c r="B189" s="8" t="s">
        <v>237</v>
      </c>
      <c r="C189" s="8" t="s">
        <v>203</v>
      </c>
      <c r="D189" s="9">
        <v>44512</v>
      </c>
      <c r="E189" s="8">
        <v>19</v>
      </c>
      <c r="F189" s="8" t="s">
        <v>238</v>
      </c>
      <c r="G189" s="8">
        <v>0.47986111111111113</v>
      </c>
      <c r="H189" s="8">
        <v>0.51111111111111118</v>
      </c>
      <c r="I189" s="8" t="s">
        <v>239</v>
      </c>
      <c r="J189" s="8">
        <v>7.013888888888889E-2</v>
      </c>
      <c r="K189" s="10">
        <v>-6974</v>
      </c>
      <c r="L189" s="8">
        <v>0.22638888888888889</v>
      </c>
      <c r="M189" s="10">
        <v>125089</v>
      </c>
      <c r="N189" s="8">
        <v>0.42499999999999999</v>
      </c>
      <c r="O189" s="8">
        <v>61</v>
      </c>
      <c r="P189" s="8">
        <v>220520</v>
      </c>
      <c r="Q189" s="8">
        <f>YEAR(Table13[[#This Row],[release_date]])</f>
        <v>2021</v>
      </c>
      <c r="R189" s="8">
        <f>ROUND(Table13[[#This Row],[duration_ms]]/60000,2)</f>
        <v>3.68</v>
      </c>
      <c r="S189" s="8" t="str">
        <f>IF(Table13[[#This Row],[valence]]&gt;=0.6, "Happy", IF(Table13[[#This Row],[valence]]&gt;=0.4, "Neutral", "Sad"))</f>
        <v>Neutral</v>
      </c>
      <c r="T189" s="8" t="str">
        <f>IF(Table13[[#This Row],[energy]]&gt;=0.7, "High Energy", IF(Table13[[#This Row],[energy]]&gt;=0.4, "Medium Energy", "Low Energy"))</f>
        <v>Medium Energy</v>
      </c>
      <c r="U189" s="17" t="str">
        <f>IF(Table13[[#This Row],[popularity]]&gt;70, "Popular", IF(Table13[[#This Row],[popularity]]&lt;40, "Less Popular", "Mid"))</f>
        <v>Mid</v>
      </c>
    </row>
    <row r="190" spans="2:21" x14ac:dyDescent="0.3">
      <c r="B190" s="8" t="s">
        <v>240</v>
      </c>
      <c r="C190" s="8" t="s">
        <v>203</v>
      </c>
      <c r="D190" s="9">
        <v>44512</v>
      </c>
      <c r="E190" s="8">
        <v>20</v>
      </c>
      <c r="F190" s="8">
        <v>0.4604166666666667</v>
      </c>
      <c r="G190" s="8">
        <v>0.30902777777777779</v>
      </c>
      <c r="H190" s="8">
        <v>9.0972222222222218E-2</v>
      </c>
      <c r="I190" s="8" t="s">
        <v>241</v>
      </c>
      <c r="J190" s="8">
        <v>7.4999999999999997E-2</v>
      </c>
      <c r="K190" s="10">
        <v>-13778</v>
      </c>
      <c r="L190" s="8">
        <v>0.39166666666666666</v>
      </c>
      <c r="M190" s="10">
        <v>208918</v>
      </c>
      <c r="N190" s="8">
        <v>7.013888888888889E-2</v>
      </c>
      <c r="O190" s="8">
        <v>61</v>
      </c>
      <c r="P190" s="8">
        <v>321640</v>
      </c>
      <c r="Q190" s="8">
        <f>YEAR(Table13[[#This Row],[release_date]])</f>
        <v>2021</v>
      </c>
      <c r="R190" s="8">
        <f>ROUND(Table13[[#This Row],[duration_ms]]/60000,2)</f>
        <v>5.36</v>
      </c>
      <c r="S190" s="8" t="str">
        <f>IF(Table13[[#This Row],[valence]]&gt;=0.6, "Happy", IF(Table13[[#This Row],[valence]]&gt;=0.4, "Neutral", "Sad"))</f>
        <v>Sad</v>
      </c>
      <c r="T190" s="8" t="str">
        <f>IF(Table13[[#This Row],[energy]]&gt;=0.7, "High Energy", IF(Table13[[#This Row],[energy]]&gt;=0.4, "Medium Energy", "Low Energy"))</f>
        <v>Low Energy</v>
      </c>
      <c r="U190" s="17" t="str">
        <f>IF(Table13[[#This Row],[popularity]]&gt;70, "Popular", IF(Table13[[#This Row],[popularity]]&lt;40, "Less Popular", "Mid"))</f>
        <v>Mid</v>
      </c>
    </row>
    <row r="191" spans="2:21" x14ac:dyDescent="0.3">
      <c r="B191" s="8" t="s">
        <v>242</v>
      </c>
      <c r="C191" s="8" t="s">
        <v>203</v>
      </c>
      <c r="D191" s="9">
        <v>44512</v>
      </c>
      <c r="E191" s="8">
        <v>21</v>
      </c>
      <c r="F191" s="8">
        <v>0.45902777777777781</v>
      </c>
      <c r="G191" s="8">
        <v>0.43263888888888885</v>
      </c>
      <c r="H191" s="8">
        <v>0.19375000000000001</v>
      </c>
      <c r="I191" s="11">
        <v>0</v>
      </c>
      <c r="J191" s="8">
        <v>0.13402777777777777</v>
      </c>
      <c r="K191" s="10">
        <v>-10802</v>
      </c>
      <c r="L191" s="8" t="s">
        <v>235</v>
      </c>
      <c r="M191" s="14">
        <v>4.8361111111111112</v>
      </c>
      <c r="N191" s="11">
        <v>2.6388888888888889E-2</v>
      </c>
      <c r="O191" s="8">
        <v>58</v>
      </c>
      <c r="P191" s="8">
        <v>264253</v>
      </c>
      <c r="Q191" s="8">
        <f>YEAR(Table13[[#This Row],[release_date]])</f>
        <v>2021</v>
      </c>
      <c r="R191" s="8">
        <f>ROUND(Table13[[#This Row],[duration_ms]]/60000,2)</f>
        <v>4.4000000000000004</v>
      </c>
      <c r="S191" s="8" t="str">
        <f>IF(Table13[[#This Row],[valence]]&gt;=0.6, "Happy", IF(Table13[[#This Row],[valence]]&gt;=0.4, "Neutral", "Sad"))</f>
        <v>Sad</v>
      </c>
      <c r="T191" s="8" t="str">
        <f>IF(Table13[[#This Row],[energy]]&gt;=0.7, "High Energy", IF(Table13[[#This Row],[energy]]&gt;=0.4, "Medium Energy", "Low Energy"))</f>
        <v>Low Energy</v>
      </c>
      <c r="U191" s="17" t="str">
        <f>IF(Table13[[#This Row],[popularity]]&gt;70, "Popular", IF(Table13[[#This Row],[popularity]]&lt;40, "Less Popular", "Mid"))</f>
        <v>Mid</v>
      </c>
    </row>
    <row r="192" spans="2:21" x14ac:dyDescent="0.3">
      <c r="B192" s="8" t="s">
        <v>243</v>
      </c>
      <c r="C192" s="8" t="s">
        <v>203</v>
      </c>
      <c r="D192" s="9">
        <v>44512</v>
      </c>
      <c r="E192" s="8">
        <v>22</v>
      </c>
      <c r="F192" s="8">
        <v>0.14861111111111111</v>
      </c>
      <c r="G192" s="8">
        <v>0.32847222222222222</v>
      </c>
      <c r="H192" s="8">
        <v>0.40208333333333335</v>
      </c>
      <c r="I192" s="11">
        <v>0</v>
      </c>
      <c r="J192" s="8">
        <v>0.60902777777777783</v>
      </c>
      <c r="K192" s="10">
        <v>-5824</v>
      </c>
      <c r="L192" s="8">
        <v>0.26666666666666666</v>
      </c>
      <c r="M192" s="10">
        <v>73942</v>
      </c>
      <c r="N192" s="8">
        <v>0.17708333333333334</v>
      </c>
      <c r="O192" s="8">
        <v>67</v>
      </c>
      <c r="P192" s="8">
        <v>297013</v>
      </c>
      <c r="Q192" s="8">
        <f>YEAR(Table13[[#This Row],[release_date]])</f>
        <v>2021</v>
      </c>
      <c r="R192" s="8">
        <f>ROUND(Table13[[#This Row],[duration_ms]]/60000,2)</f>
        <v>4.95</v>
      </c>
      <c r="S192" s="8" t="str">
        <f>IF(Table13[[#This Row],[valence]]&gt;=0.6, "Happy", IF(Table13[[#This Row],[valence]]&gt;=0.4, "Neutral", "Sad"))</f>
        <v>Sad</v>
      </c>
      <c r="T192" s="8" t="str">
        <f>IF(Table13[[#This Row],[energy]]&gt;=0.7, "High Energy", IF(Table13[[#This Row],[energy]]&gt;=0.4, "Medium Energy", "Low Energy"))</f>
        <v>Medium Energy</v>
      </c>
      <c r="U192" s="17" t="str">
        <f>IF(Table13[[#This Row],[popularity]]&gt;70, "Popular", IF(Table13[[#This Row],[popularity]]&lt;40, "Less Popular", "Mid"))</f>
        <v>Mid</v>
      </c>
    </row>
    <row r="193" spans="2:21" x14ac:dyDescent="0.3">
      <c r="B193" s="8" t="s">
        <v>244</v>
      </c>
      <c r="C193" s="8" t="s">
        <v>203</v>
      </c>
      <c r="D193" s="9">
        <v>44512</v>
      </c>
      <c r="E193" s="8">
        <v>23</v>
      </c>
      <c r="F193" s="8">
        <v>0.56736111111111109</v>
      </c>
      <c r="G193" s="8">
        <v>0.42083333333333334</v>
      </c>
      <c r="H193" s="8">
        <v>0.26180555555555557</v>
      </c>
      <c r="I193" s="11">
        <v>0</v>
      </c>
      <c r="J193" s="8">
        <v>0.10694444444444445</v>
      </c>
      <c r="K193" s="10">
        <v>-9455</v>
      </c>
      <c r="L193" s="8">
        <v>0.19097222222222221</v>
      </c>
      <c r="M193" s="8" t="s">
        <v>245</v>
      </c>
      <c r="N193" s="8">
        <v>0.30972222222222223</v>
      </c>
      <c r="O193" s="8">
        <v>70</v>
      </c>
      <c r="P193" s="8">
        <v>258812</v>
      </c>
      <c r="Q193" s="8">
        <f>YEAR(Table13[[#This Row],[release_date]])</f>
        <v>2021</v>
      </c>
      <c r="R193" s="8">
        <f>ROUND(Table13[[#This Row],[duration_ms]]/60000,2)</f>
        <v>4.3099999999999996</v>
      </c>
      <c r="S193" s="8" t="str">
        <f>IF(Table13[[#This Row],[valence]]&gt;=0.6, "Happy", IF(Table13[[#This Row],[valence]]&gt;=0.4, "Neutral", "Sad"))</f>
        <v>Sad</v>
      </c>
      <c r="T193" s="8" t="str">
        <f>IF(Table13[[#This Row],[energy]]&gt;=0.7, "High Energy", IF(Table13[[#This Row],[energy]]&gt;=0.4, "Medium Energy", "Low Energy"))</f>
        <v>Low Energy</v>
      </c>
      <c r="U193" s="17" t="str">
        <f>IF(Table13[[#This Row],[popularity]]&gt;70, "Popular", IF(Table13[[#This Row],[popularity]]&lt;40, "Less Popular", "Mid"))</f>
        <v>Mid</v>
      </c>
    </row>
    <row r="194" spans="2:21" x14ac:dyDescent="0.3">
      <c r="B194" s="8" t="s">
        <v>246</v>
      </c>
      <c r="C194" s="8" t="s">
        <v>203</v>
      </c>
      <c r="D194" s="9">
        <v>44512</v>
      </c>
      <c r="E194" s="8">
        <v>24</v>
      </c>
      <c r="F194" s="8">
        <v>0.37361111111111112</v>
      </c>
      <c r="G194" s="8">
        <v>0.4055555555555555</v>
      </c>
      <c r="H194" s="8">
        <v>0.51597222222222217</v>
      </c>
      <c r="I194" s="8" t="s">
        <v>247</v>
      </c>
      <c r="J194" s="8">
        <v>8.4027777777777771E-2</v>
      </c>
      <c r="K194" s="10">
        <v>-7075</v>
      </c>
      <c r="L194" s="8">
        <v>0.64652777777777781</v>
      </c>
      <c r="M194" s="10">
        <v>167844</v>
      </c>
      <c r="N194" s="8">
        <v>0.5180555555555556</v>
      </c>
      <c r="O194" s="8">
        <v>67</v>
      </c>
      <c r="P194" s="8">
        <v>224240</v>
      </c>
      <c r="Q194" s="8">
        <f>YEAR(Table13[[#This Row],[release_date]])</f>
        <v>2021</v>
      </c>
      <c r="R194" s="8">
        <f>ROUND(Table13[[#This Row],[duration_ms]]/60000,2)</f>
        <v>3.74</v>
      </c>
      <c r="S194" s="8" t="str">
        <f>IF(Table13[[#This Row],[valence]]&gt;=0.6, "Happy", IF(Table13[[#This Row],[valence]]&gt;=0.4, "Neutral", "Sad"))</f>
        <v>Neutral</v>
      </c>
      <c r="T194" s="8" t="str">
        <f>IF(Table13[[#This Row],[energy]]&gt;=0.7, "High Energy", IF(Table13[[#This Row],[energy]]&gt;=0.4, "Medium Energy", "Low Energy"))</f>
        <v>Medium Energy</v>
      </c>
      <c r="U194" s="17" t="str">
        <f>IF(Table13[[#This Row],[popularity]]&gt;70, "Popular", IF(Table13[[#This Row],[popularity]]&lt;40, "Less Popular", "Mid"))</f>
        <v>Mid</v>
      </c>
    </row>
    <row r="195" spans="2:21" x14ac:dyDescent="0.3">
      <c r="B195" s="8" t="s">
        <v>248</v>
      </c>
      <c r="C195" s="8" t="s">
        <v>203</v>
      </c>
      <c r="D195" s="9">
        <v>44512</v>
      </c>
      <c r="E195" s="8">
        <v>25</v>
      </c>
      <c r="F195" s="8" t="s">
        <v>249</v>
      </c>
      <c r="G195" s="8">
        <v>0.43194444444444446</v>
      </c>
      <c r="H195" s="8">
        <v>0.5493055555555556</v>
      </c>
      <c r="I195" s="8" t="s">
        <v>250</v>
      </c>
      <c r="J195" s="8" t="s">
        <v>251</v>
      </c>
      <c r="K195" s="10">
        <v>-6106</v>
      </c>
      <c r="L195" s="8">
        <v>0.37152777777777773</v>
      </c>
      <c r="M195" s="10">
        <v>115915</v>
      </c>
      <c r="N195" s="8">
        <v>0.3430555555555555</v>
      </c>
      <c r="O195" s="8">
        <v>70</v>
      </c>
      <c r="P195" s="8">
        <v>225960</v>
      </c>
      <c r="Q195" s="8">
        <f>YEAR(Table13[[#This Row],[release_date]])</f>
        <v>2021</v>
      </c>
      <c r="R195" s="8">
        <f>ROUND(Table13[[#This Row],[duration_ms]]/60000,2)</f>
        <v>3.77</v>
      </c>
      <c r="S195" s="8" t="str">
        <f>IF(Table13[[#This Row],[valence]]&gt;=0.6, "Happy", IF(Table13[[#This Row],[valence]]&gt;=0.4, "Neutral", "Sad"))</f>
        <v>Sad</v>
      </c>
      <c r="T195" s="8" t="str">
        <f>IF(Table13[[#This Row],[energy]]&gt;=0.7, "High Energy", IF(Table13[[#This Row],[energy]]&gt;=0.4, "Medium Energy", "Low Energy"))</f>
        <v>Medium Energy</v>
      </c>
      <c r="U195" s="17" t="str">
        <f>IF(Table13[[#This Row],[popularity]]&gt;70, "Popular", IF(Table13[[#This Row],[popularity]]&lt;40, "Less Popular", "Mid"))</f>
        <v>Mid</v>
      </c>
    </row>
    <row r="196" spans="2:21" x14ac:dyDescent="0.3">
      <c r="B196" s="8" t="s">
        <v>252</v>
      </c>
      <c r="C196" s="8" t="s">
        <v>203</v>
      </c>
      <c r="D196" s="9">
        <v>44512</v>
      </c>
      <c r="E196" s="8">
        <v>26</v>
      </c>
      <c r="F196" s="8">
        <v>0.11597222222222221</v>
      </c>
      <c r="G196" s="8">
        <v>0.27152777777777776</v>
      </c>
      <c r="H196" s="8">
        <v>0.49652777777777773</v>
      </c>
      <c r="I196" s="11">
        <v>0</v>
      </c>
      <c r="J196" s="8">
        <v>0.12708333333333333</v>
      </c>
      <c r="K196" s="10">
        <v>-4516</v>
      </c>
      <c r="L196" s="8">
        <v>0.34375</v>
      </c>
      <c r="M196" s="10">
        <v>149654</v>
      </c>
      <c r="N196" s="8">
        <v>0.32847222222222222</v>
      </c>
      <c r="O196" s="8">
        <v>70</v>
      </c>
      <c r="P196" s="8">
        <v>285106</v>
      </c>
      <c r="Q196" s="8">
        <f>YEAR(Table13[[#This Row],[release_date]])</f>
        <v>2021</v>
      </c>
      <c r="R196" s="8">
        <f>ROUND(Table13[[#This Row],[duration_ms]]/60000,2)</f>
        <v>4.75</v>
      </c>
      <c r="S196" s="8" t="str">
        <f>IF(Table13[[#This Row],[valence]]&gt;=0.6, "Happy", IF(Table13[[#This Row],[valence]]&gt;=0.4, "Neutral", "Sad"))</f>
        <v>Sad</v>
      </c>
      <c r="T196" s="8" t="str">
        <f>IF(Table13[[#This Row],[energy]]&gt;=0.7, "High Energy", IF(Table13[[#This Row],[energy]]&gt;=0.4, "Medium Energy", "Low Energy"))</f>
        <v>Medium Energy</v>
      </c>
      <c r="U196" s="17" t="str">
        <f>IF(Table13[[#This Row],[popularity]]&gt;70, "Popular", IF(Table13[[#This Row],[popularity]]&lt;40, "Less Popular", "Mid"))</f>
        <v>Mid</v>
      </c>
    </row>
    <row r="197" spans="2:21" x14ac:dyDescent="0.3">
      <c r="B197" s="8" t="s">
        <v>253</v>
      </c>
      <c r="C197" s="8" t="s">
        <v>203</v>
      </c>
      <c r="D197" s="9">
        <v>44512</v>
      </c>
      <c r="E197" s="8">
        <v>27</v>
      </c>
      <c r="F197" s="8">
        <v>0.17777777777777778</v>
      </c>
      <c r="G197" s="8">
        <v>0.42430555555555555</v>
      </c>
      <c r="H197" s="8">
        <v>0.3833333333333333</v>
      </c>
      <c r="I197" s="11">
        <v>0</v>
      </c>
      <c r="J197" s="8">
        <v>9.3055555555555558E-2</v>
      </c>
      <c r="K197" s="10">
        <v>-5828</v>
      </c>
      <c r="L197" s="8" t="s">
        <v>235</v>
      </c>
      <c r="M197" s="10">
        <v>116012</v>
      </c>
      <c r="N197" s="11">
        <v>2.8472222222222222E-2</v>
      </c>
      <c r="O197" s="8">
        <v>63</v>
      </c>
      <c r="P197" s="8">
        <v>263533</v>
      </c>
      <c r="Q197" s="8">
        <f>YEAR(Table13[[#This Row],[release_date]])</f>
        <v>2021</v>
      </c>
      <c r="R197" s="8">
        <f>ROUND(Table13[[#This Row],[duration_ms]]/60000,2)</f>
        <v>4.3899999999999997</v>
      </c>
      <c r="S197" s="8" t="str">
        <f>IF(Table13[[#This Row],[valence]]&gt;=0.6, "Happy", IF(Table13[[#This Row],[valence]]&gt;=0.4, "Neutral", "Sad"))</f>
        <v>Sad</v>
      </c>
      <c r="T197" s="8" t="str">
        <f>IF(Table13[[#This Row],[energy]]&gt;=0.7, "High Energy", IF(Table13[[#This Row],[energy]]&gt;=0.4, "Medium Energy", "Low Energy"))</f>
        <v>Low Energy</v>
      </c>
      <c r="U197" s="17" t="str">
        <f>IF(Table13[[#This Row],[popularity]]&gt;70, "Popular", IF(Table13[[#This Row],[popularity]]&lt;40, "Less Popular", "Mid"))</f>
        <v>Mid</v>
      </c>
    </row>
    <row r="198" spans="2:21" x14ac:dyDescent="0.3">
      <c r="B198" s="8" t="s">
        <v>254</v>
      </c>
      <c r="C198" s="8" t="s">
        <v>203</v>
      </c>
      <c r="D198" s="9">
        <v>44512</v>
      </c>
      <c r="E198" s="8">
        <v>28</v>
      </c>
      <c r="F198" s="8">
        <v>0.56736111111111109</v>
      </c>
      <c r="G198" s="8">
        <v>4.2361111111111106E-2</v>
      </c>
      <c r="H198" s="8">
        <v>0.33888888888888885</v>
      </c>
      <c r="I198" s="11">
        <v>0</v>
      </c>
      <c r="J198" s="8">
        <v>0.21666666666666667</v>
      </c>
      <c r="K198" s="10">
        <v>-6918</v>
      </c>
      <c r="L198" s="8">
        <v>0.20347222222222225</v>
      </c>
      <c r="M198" s="10">
        <v>125039</v>
      </c>
      <c r="N198" s="8">
        <v>0.30763888888888891</v>
      </c>
      <c r="O198" s="8">
        <v>64</v>
      </c>
      <c r="P198" s="8">
        <v>240226</v>
      </c>
      <c r="Q198" s="8">
        <f>YEAR(Table13[[#This Row],[release_date]])</f>
        <v>2021</v>
      </c>
      <c r="R198" s="8">
        <f>ROUND(Table13[[#This Row],[duration_ms]]/60000,2)</f>
        <v>4</v>
      </c>
      <c r="S198" s="8" t="str">
        <f>IF(Table13[[#This Row],[valence]]&gt;=0.6, "Happy", IF(Table13[[#This Row],[valence]]&gt;=0.4, "Neutral", "Sad"))</f>
        <v>Sad</v>
      </c>
      <c r="T198" s="8" t="str">
        <f>IF(Table13[[#This Row],[energy]]&gt;=0.7, "High Energy", IF(Table13[[#This Row],[energy]]&gt;=0.4, "Medium Energy", "Low Energy"))</f>
        <v>Low Energy</v>
      </c>
      <c r="U198" s="17" t="str">
        <f>IF(Table13[[#This Row],[popularity]]&gt;70, "Popular", IF(Table13[[#This Row],[popularity]]&lt;40, "Less Popular", "Mid"))</f>
        <v>Mid</v>
      </c>
    </row>
    <row r="199" spans="2:21" x14ac:dyDescent="0.3">
      <c r="B199" s="8" t="s">
        <v>255</v>
      </c>
      <c r="C199" s="8" t="s">
        <v>203</v>
      </c>
      <c r="D199" s="9">
        <v>44512</v>
      </c>
      <c r="E199" s="8">
        <v>29</v>
      </c>
      <c r="F199" s="8" t="s">
        <v>193</v>
      </c>
      <c r="G199" s="8">
        <v>0.47083333333333338</v>
      </c>
      <c r="H199" s="8">
        <v>0.50902777777777775</v>
      </c>
      <c r="I199" s="11">
        <v>0</v>
      </c>
      <c r="J199" s="8">
        <v>7.2222222222222229E-2</v>
      </c>
      <c r="K199" s="10">
        <v>-5025</v>
      </c>
      <c r="L199" s="8">
        <v>0.19513888888888889</v>
      </c>
      <c r="M199" s="10">
        <v>121009</v>
      </c>
      <c r="N199" s="8">
        <v>0.40347222222222223</v>
      </c>
      <c r="O199" s="8">
        <v>69</v>
      </c>
      <c r="P199" s="8">
        <v>200280</v>
      </c>
      <c r="Q199" s="8">
        <f>YEAR(Table13[[#This Row],[release_date]])</f>
        <v>2021</v>
      </c>
      <c r="R199" s="8">
        <f>ROUND(Table13[[#This Row],[duration_ms]]/60000,2)</f>
        <v>3.34</v>
      </c>
      <c r="S199" s="8" t="str">
        <f>IF(Table13[[#This Row],[valence]]&gt;=0.6, "Happy", IF(Table13[[#This Row],[valence]]&gt;=0.4, "Neutral", "Sad"))</f>
        <v>Neutral</v>
      </c>
      <c r="T199" s="8" t="str">
        <f>IF(Table13[[#This Row],[energy]]&gt;=0.7, "High Energy", IF(Table13[[#This Row],[energy]]&gt;=0.4, "Medium Energy", "Low Energy"))</f>
        <v>Medium Energy</v>
      </c>
      <c r="U199" s="17" t="str">
        <f>IF(Table13[[#This Row],[popularity]]&gt;70, "Popular", IF(Table13[[#This Row],[popularity]]&lt;40, "Less Popular", "Mid"))</f>
        <v>Mid</v>
      </c>
    </row>
    <row r="200" spans="2:21" x14ac:dyDescent="0.3">
      <c r="B200" s="8" t="s">
        <v>256</v>
      </c>
      <c r="C200" s="8" t="s">
        <v>203</v>
      </c>
      <c r="D200" s="9">
        <v>44512</v>
      </c>
      <c r="E200" s="8">
        <v>30</v>
      </c>
      <c r="F200" s="8">
        <v>0.19027777777777777</v>
      </c>
      <c r="G200" s="8">
        <v>0.4381944444444445</v>
      </c>
      <c r="H200" s="8">
        <v>0.35972222222222222</v>
      </c>
      <c r="I200" s="11">
        <v>0</v>
      </c>
      <c r="J200" s="8" t="s">
        <v>257</v>
      </c>
      <c r="K200" s="10">
        <v>-8771</v>
      </c>
      <c r="L200" s="8">
        <v>0.21041666666666667</v>
      </c>
      <c r="M200" s="10">
        <v>93023</v>
      </c>
      <c r="N200" s="8">
        <v>0.1423611111111111</v>
      </c>
      <c r="O200" s="8">
        <v>80</v>
      </c>
      <c r="P200" s="8">
        <v>613026</v>
      </c>
      <c r="Q200" s="8">
        <f>YEAR(Table13[[#This Row],[release_date]])</f>
        <v>2021</v>
      </c>
      <c r="R200" s="8">
        <f>ROUND(Table13[[#This Row],[duration_ms]]/60000,2)</f>
        <v>10.220000000000001</v>
      </c>
      <c r="S200" s="8" t="str">
        <f>IF(Table13[[#This Row],[valence]]&gt;=0.6, "Happy", IF(Table13[[#This Row],[valence]]&gt;=0.4, "Neutral", "Sad"))</f>
        <v>Sad</v>
      </c>
      <c r="T200" s="8" t="str">
        <f>IF(Table13[[#This Row],[energy]]&gt;=0.7, "High Energy", IF(Table13[[#This Row],[energy]]&gt;=0.4, "Medium Energy", "Low Energy"))</f>
        <v>Low Energy</v>
      </c>
      <c r="U200" s="17" t="str">
        <f>IF(Table13[[#This Row],[popularity]]&gt;70, "Popular", IF(Table13[[#This Row],[popularity]]&lt;40, "Less Popular", "Mid"))</f>
        <v>Popular</v>
      </c>
    </row>
    <row r="201" spans="2:21" x14ac:dyDescent="0.3">
      <c r="B201" s="8" t="s">
        <v>258</v>
      </c>
      <c r="C201" s="8" t="s">
        <v>259</v>
      </c>
      <c r="D201" s="9">
        <v>44295</v>
      </c>
      <c r="E201" s="8">
        <v>1</v>
      </c>
      <c r="F201" s="8">
        <v>8.4722222222222213E-2</v>
      </c>
      <c r="G201" s="8">
        <v>0.39513888888888887</v>
      </c>
      <c r="H201" s="8">
        <v>0.51458333333333328</v>
      </c>
      <c r="I201" s="11">
        <v>0</v>
      </c>
      <c r="J201" s="8">
        <v>0.23124999999999998</v>
      </c>
      <c r="K201" s="10">
        <v>-4963</v>
      </c>
      <c r="L201" s="8">
        <v>0.19583333333333333</v>
      </c>
      <c r="M201" s="10">
        <v>100118</v>
      </c>
      <c r="N201" s="11">
        <v>2.9861111111111113E-2</v>
      </c>
      <c r="O201" s="8">
        <v>78</v>
      </c>
      <c r="P201" s="8">
        <v>241591</v>
      </c>
      <c r="Q201" s="8">
        <f>YEAR(Table13[[#This Row],[release_date]])</f>
        <v>2021</v>
      </c>
      <c r="R201" s="8">
        <f>ROUND(Table13[[#This Row],[duration_ms]]/60000,2)</f>
        <v>4.03</v>
      </c>
      <c r="S201" s="8" t="str">
        <f>IF(Table13[[#This Row],[valence]]&gt;=0.6, "Happy", IF(Table13[[#This Row],[valence]]&gt;=0.4, "Neutral", "Sad"))</f>
        <v>Sad</v>
      </c>
      <c r="T201" s="8" t="str">
        <f>IF(Table13[[#This Row],[energy]]&gt;=0.7, "High Energy", IF(Table13[[#This Row],[energy]]&gt;=0.4, "Medium Energy", "Low Energy"))</f>
        <v>Medium Energy</v>
      </c>
      <c r="U201" s="17" t="str">
        <f>IF(Table13[[#This Row],[popularity]]&gt;70, "Popular", IF(Table13[[#This Row],[popularity]]&lt;40, "Less Popular", "Mid"))</f>
        <v>Popular</v>
      </c>
    </row>
    <row r="202" spans="2:21" x14ac:dyDescent="0.3">
      <c r="B202" s="8" t="s">
        <v>260</v>
      </c>
      <c r="C202" s="8" t="s">
        <v>259</v>
      </c>
      <c r="D202" s="9">
        <v>44295</v>
      </c>
      <c r="E202" s="8">
        <v>2</v>
      </c>
      <c r="F202" s="8">
        <v>8.0555555555555561E-2</v>
      </c>
      <c r="G202" s="8">
        <v>0.38819444444444445</v>
      </c>
      <c r="H202" s="8">
        <v>0.44861111111111113</v>
      </c>
      <c r="I202" s="11">
        <v>0</v>
      </c>
      <c r="J202" s="11">
        <v>2.2222222222222223E-2</v>
      </c>
      <c r="K202" s="8" t="s">
        <v>261</v>
      </c>
      <c r="L202" s="8">
        <v>0.18888888888888888</v>
      </c>
      <c r="M202" s="10">
        <v>95466</v>
      </c>
      <c r="N202" s="8">
        <v>0.20069444444444443</v>
      </c>
      <c r="O202" s="8">
        <v>66</v>
      </c>
      <c r="P202" s="8">
        <v>294419</v>
      </c>
      <c r="Q202" s="8">
        <f>YEAR(Table13[[#This Row],[release_date]])</f>
        <v>2021</v>
      </c>
      <c r="R202" s="8">
        <f>ROUND(Table13[[#This Row],[duration_ms]]/60000,2)</f>
        <v>4.91</v>
      </c>
      <c r="S202" s="8" t="str">
        <f>IF(Table13[[#This Row],[valence]]&gt;=0.6, "Happy", IF(Table13[[#This Row],[valence]]&gt;=0.4, "Neutral", "Sad"))</f>
        <v>Sad</v>
      </c>
      <c r="T202" s="8" t="str">
        <f>IF(Table13[[#This Row],[energy]]&gt;=0.7, "High Energy", IF(Table13[[#This Row],[energy]]&gt;=0.4, "Medium Energy", "Low Energy"))</f>
        <v>Medium Energy</v>
      </c>
      <c r="U202" s="17" t="str">
        <f>IF(Table13[[#This Row],[popularity]]&gt;70, "Popular", IF(Table13[[#This Row],[popularity]]&lt;40, "Less Popular", "Mid"))</f>
        <v>Mid</v>
      </c>
    </row>
    <row r="203" spans="2:21" x14ac:dyDescent="0.3">
      <c r="B203" s="8" t="s">
        <v>262</v>
      </c>
      <c r="C203" s="8" t="s">
        <v>259</v>
      </c>
      <c r="D203" s="9">
        <v>44295</v>
      </c>
      <c r="E203" s="8">
        <v>3</v>
      </c>
      <c r="F203" s="11">
        <v>9.0277777777777787E-3</v>
      </c>
      <c r="G203" s="8">
        <v>0.43541666666666662</v>
      </c>
      <c r="H203" s="8">
        <v>0.54999999999999993</v>
      </c>
      <c r="I203" s="8" t="s">
        <v>263</v>
      </c>
      <c r="J203" s="8">
        <v>0.58680555555555558</v>
      </c>
      <c r="K203" s="10">
        <v>-4311</v>
      </c>
      <c r="L203" s="8" t="s">
        <v>235</v>
      </c>
      <c r="M203" s="10">
        <v>119054</v>
      </c>
      <c r="N203" s="8">
        <v>0.28819444444444448</v>
      </c>
      <c r="O203" s="8">
        <v>78</v>
      </c>
      <c r="P203" s="8">
        <v>235766</v>
      </c>
      <c r="Q203" s="8">
        <f>YEAR(Table13[[#This Row],[release_date]])</f>
        <v>2021</v>
      </c>
      <c r="R203" s="8">
        <f>ROUND(Table13[[#This Row],[duration_ms]]/60000,2)</f>
        <v>3.93</v>
      </c>
      <c r="S203" s="8" t="str">
        <f>IF(Table13[[#This Row],[valence]]&gt;=0.6, "Happy", IF(Table13[[#This Row],[valence]]&gt;=0.4, "Neutral", "Sad"))</f>
        <v>Sad</v>
      </c>
      <c r="T203" s="8" t="str">
        <f>IF(Table13[[#This Row],[energy]]&gt;=0.7, "High Energy", IF(Table13[[#This Row],[energy]]&gt;=0.4, "Medium Energy", "Low Energy"))</f>
        <v>Medium Energy</v>
      </c>
      <c r="U203" s="17" t="str">
        <f>IF(Table13[[#This Row],[popularity]]&gt;70, "Popular", IF(Table13[[#This Row],[popularity]]&lt;40, "Less Popular", "Mid"))</f>
        <v>Popular</v>
      </c>
    </row>
    <row r="204" spans="2:21" x14ac:dyDescent="0.3">
      <c r="B204" s="8" t="s">
        <v>264</v>
      </c>
      <c r="C204" s="8" t="s">
        <v>259</v>
      </c>
      <c r="D204" s="9">
        <v>44295</v>
      </c>
      <c r="E204" s="8">
        <v>4</v>
      </c>
      <c r="F204" s="8">
        <v>7.3611111111111113E-2</v>
      </c>
      <c r="G204" s="8">
        <v>0.54722222222222217</v>
      </c>
      <c r="H204" s="8">
        <v>0.39652777777777781</v>
      </c>
      <c r="I204" s="11">
        <v>0</v>
      </c>
      <c r="J204" s="8">
        <v>0.64861111111111114</v>
      </c>
      <c r="K204" s="10">
        <v>-6135</v>
      </c>
      <c r="L204" s="8">
        <v>0.20555555555555557</v>
      </c>
      <c r="M204" s="8" t="s">
        <v>265</v>
      </c>
      <c r="N204" s="8">
        <v>0.55347222222222225</v>
      </c>
      <c r="O204" s="8">
        <v>65</v>
      </c>
      <c r="P204" s="8">
        <v>254254</v>
      </c>
      <c r="Q204" s="8">
        <f>YEAR(Table13[[#This Row],[release_date]])</f>
        <v>2021</v>
      </c>
      <c r="R204" s="8">
        <f>ROUND(Table13[[#This Row],[duration_ms]]/60000,2)</f>
        <v>4.24</v>
      </c>
      <c r="S204" s="8" t="str">
        <f>IF(Table13[[#This Row],[valence]]&gt;=0.6, "Happy", IF(Table13[[#This Row],[valence]]&gt;=0.4, "Neutral", "Sad"))</f>
        <v>Neutral</v>
      </c>
      <c r="T204" s="8" t="str">
        <f>IF(Table13[[#This Row],[energy]]&gt;=0.7, "High Energy", IF(Table13[[#This Row],[energy]]&gt;=0.4, "Medium Energy", "Low Energy"))</f>
        <v>Low Energy</v>
      </c>
      <c r="U204" s="17" t="str">
        <f>IF(Table13[[#This Row],[popularity]]&gt;70, "Popular", IF(Table13[[#This Row],[popularity]]&lt;40, "Less Popular", "Mid"))</f>
        <v>Mid</v>
      </c>
    </row>
    <row r="205" spans="2:21" x14ac:dyDescent="0.3">
      <c r="B205" s="8" t="s">
        <v>266</v>
      </c>
      <c r="C205" s="8" t="s">
        <v>259</v>
      </c>
      <c r="D205" s="9">
        <v>44295</v>
      </c>
      <c r="E205" s="8">
        <v>5</v>
      </c>
      <c r="F205" s="8">
        <v>0.25625000000000003</v>
      </c>
      <c r="G205" s="8">
        <v>0.29375000000000001</v>
      </c>
      <c r="H205" s="8">
        <v>0.35902777777777778</v>
      </c>
      <c r="I205" s="11">
        <v>0</v>
      </c>
      <c r="J205" s="8">
        <v>0.12291666666666667</v>
      </c>
      <c r="K205" s="10">
        <v>-7377</v>
      </c>
      <c r="L205" s="8">
        <v>0.33749999999999997</v>
      </c>
      <c r="M205" s="10">
        <v>185262</v>
      </c>
      <c r="N205" s="8">
        <v>0.25416666666666665</v>
      </c>
      <c r="O205" s="8">
        <v>67</v>
      </c>
      <c r="P205" s="8">
        <v>234515</v>
      </c>
      <c r="Q205" s="8">
        <f>YEAR(Table13[[#This Row],[release_date]])</f>
        <v>2021</v>
      </c>
      <c r="R205" s="8">
        <f>ROUND(Table13[[#This Row],[duration_ms]]/60000,2)</f>
        <v>3.91</v>
      </c>
      <c r="S205" s="8" t="str">
        <f>IF(Table13[[#This Row],[valence]]&gt;=0.6, "Happy", IF(Table13[[#This Row],[valence]]&gt;=0.4, "Neutral", "Sad"))</f>
        <v>Sad</v>
      </c>
      <c r="T205" s="8" t="str">
        <f>IF(Table13[[#This Row],[energy]]&gt;=0.7, "High Energy", IF(Table13[[#This Row],[energy]]&gt;=0.4, "Medium Energy", "Low Energy"))</f>
        <v>Low Energy</v>
      </c>
      <c r="U205" s="17" t="str">
        <f>IF(Table13[[#This Row],[popularity]]&gt;70, "Popular", IF(Table13[[#This Row],[popularity]]&lt;40, "Less Popular", "Mid"))</f>
        <v>Mid</v>
      </c>
    </row>
    <row r="206" spans="2:21" x14ac:dyDescent="0.3">
      <c r="B206" s="8" t="s">
        <v>267</v>
      </c>
      <c r="C206" s="8" t="s">
        <v>259</v>
      </c>
      <c r="D206" s="9">
        <v>44295</v>
      </c>
      <c r="E206" s="8">
        <v>6</v>
      </c>
      <c r="F206" s="8">
        <v>0.43263888888888885</v>
      </c>
      <c r="G206" s="8">
        <v>0.43888888888888888</v>
      </c>
      <c r="H206" s="8">
        <v>0.53680555555555554</v>
      </c>
      <c r="I206" s="11">
        <v>0</v>
      </c>
      <c r="J206" s="8">
        <v>0.61458333333333337</v>
      </c>
      <c r="K206" s="10">
        <v>-4856</v>
      </c>
      <c r="L206" s="8">
        <v>0.24027777777777778</v>
      </c>
      <c r="M206" s="10">
        <v>130033</v>
      </c>
      <c r="N206" s="8">
        <v>0.32916666666666666</v>
      </c>
      <c r="O206" s="8">
        <v>81</v>
      </c>
      <c r="P206" s="8">
        <v>231124</v>
      </c>
      <c r="Q206" s="8">
        <f>YEAR(Table13[[#This Row],[release_date]])</f>
        <v>2021</v>
      </c>
      <c r="R206" s="8">
        <f>ROUND(Table13[[#This Row],[duration_ms]]/60000,2)</f>
        <v>3.85</v>
      </c>
      <c r="S206" s="8" t="str">
        <f>IF(Table13[[#This Row],[valence]]&gt;=0.6, "Happy", IF(Table13[[#This Row],[valence]]&gt;=0.4, "Neutral", "Sad"))</f>
        <v>Sad</v>
      </c>
      <c r="T206" s="8" t="str">
        <f>IF(Table13[[#This Row],[energy]]&gt;=0.7, "High Energy", IF(Table13[[#This Row],[energy]]&gt;=0.4, "Medium Energy", "Low Energy"))</f>
        <v>Medium Energy</v>
      </c>
      <c r="U206" s="17" t="str">
        <f>IF(Table13[[#This Row],[popularity]]&gt;70, "Popular", IF(Table13[[#This Row],[popularity]]&lt;40, "Less Popular", "Mid"))</f>
        <v>Popular</v>
      </c>
    </row>
    <row r="207" spans="2:21" x14ac:dyDescent="0.3">
      <c r="B207" s="8" t="s">
        <v>268</v>
      </c>
      <c r="C207" s="8" t="s">
        <v>259</v>
      </c>
      <c r="D207" s="9">
        <v>44295</v>
      </c>
      <c r="E207" s="8">
        <v>7</v>
      </c>
      <c r="F207" s="8">
        <v>0.10833333333333334</v>
      </c>
      <c r="G207" s="8">
        <v>0.35138888888888892</v>
      </c>
      <c r="H207" s="8">
        <v>0.43472222222222223</v>
      </c>
      <c r="I207" s="11">
        <v>0</v>
      </c>
      <c r="J207" s="8">
        <v>0.15833333333333333</v>
      </c>
      <c r="K207" s="10">
        <v>-6066</v>
      </c>
      <c r="L207" s="8">
        <v>0.19930555555555554</v>
      </c>
      <c r="M207" s="10">
        <v>148035</v>
      </c>
      <c r="N207" s="8">
        <v>0.22291666666666665</v>
      </c>
      <c r="O207" s="8">
        <v>63</v>
      </c>
      <c r="P207" s="8">
        <v>263377</v>
      </c>
      <c r="Q207" s="8">
        <f>YEAR(Table13[[#This Row],[release_date]])</f>
        <v>2021</v>
      </c>
      <c r="R207" s="8">
        <f>ROUND(Table13[[#This Row],[duration_ms]]/60000,2)</f>
        <v>4.3899999999999997</v>
      </c>
      <c r="S207" s="8" t="str">
        <f>IF(Table13[[#This Row],[valence]]&gt;=0.6, "Happy", IF(Table13[[#This Row],[valence]]&gt;=0.4, "Neutral", "Sad"))</f>
        <v>Sad</v>
      </c>
      <c r="T207" s="8" t="str">
        <f>IF(Table13[[#This Row],[energy]]&gt;=0.7, "High Energy", IF(Table13[[#This Row],[energy]]&gt;=0.4, "Medium Energy", "Low Energy"))</f>
        <v>Medium Energy</v>
      </c>
      <c r="U207" s="17" t="str">
        <f>IF(Table13[[#This Row],[popularity]]&gt;70, "Popular", IF(Table13[[#This Row],[popularity]]&lt;40, "Less Popular", "Mid"))</f>
        <v>Mid</v>
      </c>
    </row>
    <row r="208" spans="2:21" x14ac:dyDescent="0.3">
      <c r="B208" s="8" t="s">
        <v>269</v>
      </c>
      <c r="C208" s="8" t="s">
        <v>259</v>
      </c>
      <c r="D208" s="9">
        <v>44295</v>
      </c>
      <c r="E208" s="8">
        <v>8</v>
      </c>
      <c r="F208" s="8">
        <v>0.15416666666666667</v>
      </c>
      <c r="G208" s="8">
        <v>0.40138888888888885</v>
      </c>
      <c r="H208" s="8">
        <v>0.63124999999999998</v>
      </c>
      <c r="I208" s="11">
        <v>0</v>
      </c>
      <c r="J208" s="8">
        <v>0.23124999999999998</v>
      </c>
      <c r="K208" s="10">
        <v>-3669</v>
      </c>
      <c r="L208" s="8">
        <v>0.43611111111111112</v>
      </c>
      <c r="M208" s="10">
        <v>100023</v>
      </c>
      <c r="N208" s="8">
        <v>0.3756944444444445</v>
      </c>
      <c r="O208" s="8">
        <v>62</v>
      </c>
      <c r="P208" s="8">
        <v>200575</v>
      </c>
      <c r="Q208" s="8">
        <f>YEAR(Table13[[#This Row],[release_date]])</f>
        <v>2021</v>
      </c>
      <c r="R208" s="8">
        <f>ROUND(Table13[[#This Row],[duration_ms]]/60000,2)</f>
        <v>3.34</v>
      </c>
      <c r="S208" s="8" t="str">
        <f>IF(Table13[[#This Row],[valence]]&gt;=0.6, "Happy", IF(Table13[[#This Row],[valence]]&gt;=0.4, "Neutral", "Sad"))</f>
        <v>Sad</v>
      </c>
      <c r="T208" s="8" t="str">
        <f>IF(Table13[[#This Row],[energy]]&gt;=0.7, "High Energy", IF(Table13[[#This Row],[energy]]&gt;=0.4, "Medium Energy", "Low Energy"))</f>
        <v>Medium Energy</v>
      </c>
      <c r="U208" s="17" t="str">
        <f>IF(Table13[[#This Row],[popularity]]&gt;70, "Popular", IF(Table13[[#This Row],[popularity]]&lt;40, "Less Popular", "Mid"))</f>
        <v>Mid</v>
      </c>
    </row>
    <row r="209" spans="2:21" x14ac:dyDescent="0.3">
      <c r="B209" s="8" t="s">
        <v>270</v>
      </c>
      <c r="C209" s="8" t="s">
        <v>259</v>
      </c>
      <c r="D209" s="9">
        <v>44295</v>
      </c>
      <c r="E209" s="8">
        <v>9</v>
      </c>
      <c r="F209" s="8">
        <v>0.37361111111111112</v>
      </c>
      <c r="G209" s="8">
        <v>0.35138888888888892</v>
      </c>
      <c r="H209" s="8">
        <v>0.30833333333333335</v>
      </c>
      <c r="I209" s="11">
        <v>0</v>
      </c>
      <c r="J209" s="8">
        <v>8.5416666666666655E-2</v>
      </c>
      <c r="K209" s="8" t="s">
        <v>271</v>
      </c>
      <c r="L209" s="8">
        <v>0.19791666666666666</v>
      </c>
      <c r="M209" s="10">
        <v>133873</v>
      </c>
      <c r="N209" s="8">
        <v>0.1673611111111111</v>
      </c>
      <c r="O209" s="8">
        <v>64</v>
      </c>
      <c r="P209" s="8">
        <v>261842</v>
      </c>
      <c r="Q209" s="8">
        <f>YEAR(Table13[[#This Row],[release_date]])</f>
        <v>2021</v>
      </c>
      <c r="R209" s="8">
        <f>ROUND(Table13[[#This Row],[duration_ms]]/60000,2)</f>
        <v>4.3600000000000003</v>
      </c>
      <c r="S209" s="8" t="str">
        <f>IF(Table13[[#This Row],[valence]]&gt;=0.6, "Happy", IF(Table13[[#This Row],[valence]]&gt;=0.4, "Neutral", "Sad"))</f>
        <v>Sad</v>
      </c>
      <c r="T209" s="8" t="str">
        <f>IF(Table13[[#This Row],[energy]]&gt;=0.7, "High Energy", IF(Table13[[#This Row],[energy]]&gt;=0.4, "Medium Energy", "Low Energy"))</f>
        <v>Low Energy</v>
      </c>
      <c r="U209" s="17" t="str">
        <f>IF(Table13[[#This Row],[popularity]]&gt;70, "Popular", IF(Table13[[#This Row],[popularity]]&lt;40, "Less Popular", "Mid"))</f>
        <v>Mid</v>
      </c>
    </row>
    <row r="210" spans="2:21" x14ac:dyDescent="0.3">
      <c r="B210" s="8" t="s">
        <v>272</v>
      </c>
      <c r="C210" s="8" t="s">
        <v>259</v>
      </c>
      <c r="D210" s="9">
        <v>44295</v>
      </c>
      <c r="E210" s="8">
        <v>10</v>
      </c>
      <c r="F210" s="8" t="s">
        <v>273</v>
      </c>
      <c r="G210" s="8">
        <v>0.27916666666666667</v>
      </c>
      <c r="H210" s="8">
        <v>0.5083333333333333</v>
      </c>
      <c r="I210" s="11">
        <v>0</v>
      </c>
      <c r="J210" s="8">
        <v>7.4999999999999997E-2</v>
      </c>
      <c r="K210" s="10">
        <v>-4665</v>
      </c>
      <c r="L210" s="8">
        <v>0.33611111111111108</v>
      </c>
      <c r="M210" s="10">
        <v>161032</v>
      </c>
      <c r="N210" s="8">
        <v>0.32777777777777778</v>
      </c>
      <c r="O210" s="8">
        <v>76</v>
      </c>
      <c r="P210" s="8">
        <v>243136</v>
      </c>
      <c r="Q210" s="8">
        <f>YEAR(Table13[[#This Row],[release_date]])</f>
        <v>2021</v>
      </c>
      <c r="R210" s="8">
        <f>ROUND(Table13[[#This Row],[duration_ms]]/60000,2)</f>
        <v>4.05</v>
      </c>
      <c r="S210" s="8" t="str">
        <f>IF(Table13[[#This Row],[valence]]&gt;=0.6, "Happy", IF(Table13[[#This Row],[valence]]&gt;=0.4, "Neutral", "Sad"))</f>
        <v>Sad</v>
      </c>
      <c r="T210" s="8" t="str">
        <f>IF(Table13[[#This Row],[energy]]&gt;=0.7, "High Energy", IF(Table13[[#This Row],[energy]]&gt;=0.4, "Medium Energy", "Low Energy"))</f>
        <v>Medium Energy</v>
      </c>
      <c r="U210" s="17" t="str">
        <f>IF(Table13[[#This Row],[popularity]]&gt;70, "Popular", IF(Table13[[#This Row],[popularity]]&lt;40, "Less Popular", "Mid"))</f>
        <v>Popular</v>
      </c>
    </row>
    <row r="211" spans="2:21" x14ac:dyDescent="0.3">
      <c r="B211" s="8" t="s">
        <v>274</v>
      </c>
      <c r="C211" s="8" t="s">
        <v>259</v>
      </c>
      <c r="D211" s="9">
        <v>44295</v>
      </c>
      <c r="E211" s="8">
        <v>11</v>
      </c>
      <c r="F211" s="8">
        <v>0.16041666666666668</v>
      </c>
      <c r="G211" s="8">
        <v>0.4152777777777778</v>
      </c>
      <c r="H211" s="8">
        <v>0.57013888888888886</v>
      </c>
      <c r="I211" s="11">
        <v>0</v>
      </c>
      <c r="J211" s="8">
        <v>9.930555555555555E-2</v>
      </c>
      <c r="K211" s="10">
        <v>-4433</v>
      </c>
      <c r="L211" s="8">
        <v>0.31041666666666667</v>
      </c>
      <c r="M211" s="14">
        <v>5.3354166666666671</v>
      </c>
      <c r="N211" s="8">
        <v>0.46736111111111112</v>
      </c>
      <c r="O211" s="8">
        <v>67</v>
      </c>
      <c r="P211" s="8">
        <v>225328</v>
      </c>
      <c r="Q211" s="8">
        <f>YEAR(Table13[[#This Row],[release_date]])</f>
        <v>2021</v>
      </c>
      <c r="R211" s="8">
        <f>ROUND(Table13[[#This Row],[duration_ms]]/60000,2)</f>
        <v>3.76</v>
      </c>
      <c r="S211" s="8" t="str">
        <f>IF(Table13[[#This Row],[valence]]&gt;=0.6, "Happy", IF(Table13[[#This Row],[valence]]&gt;=0.4, "Neutral", "Sad"))</f>
        <v>Neutral</v>
      </c>
      <c r="T211" s="8" t="str">
        <f>IF(Table13[[#This Row],[energy]]&gt;=0.7, "High Energy", IF(Table13[[#This Row],[energy]]&gt;=0.4, "Medium Energy", "Low Energy"))</f>
        <v>Medium Energy</v>
      </c>
      <c r="U211" s="17" t="str">
        <f>IF(Table13[[#This Row],[popularity]]&gt;70, "Popular", IF(Table13[[#This Row],[popularity]]&lt;40, "Less Popular", "Mid"))</f>
        <v>Mid</v>
      </c>
    </row>
    <row r="212" spans="2:21" x14ac:dyDescent="0.3">
      <c r="B212" s="8" t="s">
        <v>275</v>
      </c>
      <c r="C212" s="8" t="s">
        <v>259</v>
      </c>
      <c r="D212" s="9">
        <v>44295</v>
      </c>
      <c r="E212" s="8">
        <v>12</v>
      </c>
      <c r="F212" s="8">
        <v>0.33888888888888885</v>
      </c>
      <c r="G212" s="8">
        <v>0.4458333333333333</v>
      </c>
      <c r="H212" s="8">
        <v>0.39999999999999997</v>
      </c>
      <c r="I212" s="11">
        <v>0</v>
      </c>
      <c r="J212" s="8">
        <v>0.11041666666666666</v>
      </c>
      <c r="K212" s="10">
        <v>-8524</v>
      </c>
      <c r="L212" s="8">
        <v>0.19583333333333333</v>
      </c>
      <c r="M212" s="14">
        <v>5.208333333333333</v>
      </c>
      <c r="N212" s="8">
        <v>0.32569444444444445</v>
      </c>
      <c r="O212" s="8">
        <v>61</v>
      </c>
      <c r="P212" s="8">
        <v>245290</v>
      </c>
      <c r="Q212" s="8">
        <f>YEAR(Table13[[#This Row],[release_date]])</f>
        <v>2021</v>
      </c>
      <c r="R212" s="8">
        <f>ROUND(Table13[[#This Row],[duration_ms]]/60000,2)</f>
        <v>4.09</v>
      </c>
      <c r="S212" s="8" t="str">
        <f>IF(Table13[[#This Row],[valence]]&gt;=0.6, "Happy", IF(Table13[[#This Row],[valence]]&gt;=0.4, "Neutral", "Sad"))</f>
        <v>Sad</v>
      </c>
      <c r="T212" s="8" t="str">
        <f>IF(Table13[[#This Row],[energy]]&gt;=0.7, "High Energy", IF(Table13[[#This Row],[energy]]&gt;=0.4, "Medium Energy", "Low Energy"))</f>
        <v>Medium Energy</v>
      </c>
      <c r="U212" s="17" t="str">
        <f>IF(Table13[[#This Row],[popularity]]&gt;70, "Popular", IF(Table13[[#This Row],[popularity]]&lt;40, "Less Popular", "Mid"))</f>
        <v>Mid</v>
      </c>
    </row>
    <row r="213" spans="2:21" x14ac:dyDescent="0.3">
      <c r="B213" s="8" t="s">
        <v>276</v>
      </c>
      <c r="C213" s="8" t="s">
        <v>259</v>
      </c>
      <c r="D213" s="9">
        <v>44295</v>
      </c>
      <c r="E213" s="8">
        <v>13</v>
      </c>
      <c r="F213" s="8" t="s">
        <v>277</v>
      </c>
      <c r="G213" s="8">
        <v>0.34652777777777777</v>
      </c>
      <c r="H213" s="8">
        <v>0.56597222222222221</v>
      </c>
      <c r="I213" s="11">
        <v>0</v>
      </c>
      <c r="J213" s="8">
        <v>0.12569444444444444</v>
      </c>
      <c r="K213" s="10">
        <v>-4063</v>
      </c>
      <c r="L213" s="8">
        <v>0.23680555555555557</v>
      </c>
      <c r="M213" s="10">
        <v>95999</v>
      </c>
      <c r="N213" s="8">
        <v>0.2388888888888889</v>
      </c>
      <c r="O213" s="8">
        <v>60</v>
      </c>
      <c r="P213" s="8">
        <v>279359</v>
      </c>
      <c r="Q213" s="8">
        <f>YEAR(Table13[[#This Row],[release_date]])</f>
        <v>2021</v>
      </c>
      <c r="R213" s="8">
        <f>ROUND(Table13[[#This Row],[duration_ms]]/60000,2)</f>
        <v>4.66</v>
      </c>
      <c r="S213" s="8" t="str">
        <f>IF(Table13[[#This Row],[valence]]&gt;=0.6, "Happy", IF(Table13[[#This Row],[valence]]&gt;=0.4, "Neutral", "Sad"))</f>
        <v>Sad</v>
      </c>
      <c r="T213" s="8" t="str">
        <f>IF(Table13[[#This Row],[energy]]&gt;=0.7, "High Energy", IF(Table13[[#This Row],[energy]]&gt;=0.4, "Medium Energy", "Low Energy"))</f>
        <v>Medium Energy</v>
      </c>
      <c r="U213" s="17" t="str">
        <f>IF(Table13[[#This Row],[popularity]]&gt;70, "Popular", IF(Table13[[#This Row],[popularity]]&lt;40, "Less Popular", "Mid"))</f>
        <v>Mid</v>
      </c>
    </row>
    <row r="214" spans="2:21" x14ac:dyDescent="0.3">
      <c r="B214" s="8" t="s">
        <v>278</v>
      </c>
      <c r="C214" s="8" t="s">
        <v>259</v>
      </c>
      <c r="D214" s="9">
        <v>44295</v>
      </c>
      <c r="E214" s="8">
        <v>14</v>
      </c>
      <c r="F214" s="8">
        <v>0.32916666666666666</v>
      </c>
      <c r="G214" s="8">
        <v>0.3972222222222222</v>
      </c>
      <c r="H214" s="8">
        <v>4.7916666666666663E-2</v>
      </c>
      <c r="I214" s="11">
        <v>0</v>
      </c>
      <c r="J214" s="8">
        <v>0.62291666666666667</v>
      </c>
      <c r="K214" s="10">
        <v>-6201</v>
      </c>
      <c r="L214" s="8">
        <v>0.24861111111111112</v>
      </c>
      <c r="M214" s="10">
        <v>160111</v>
      </c>
      <c r="N214" s="8">
        <v>0.43333333333333335</v>
      </c>
      <c r="O214" s="8">
        <v>62</v>
      </c>
      <c r="P214" s="8">
        <v>237580</v>
      </c>
      <c r="Q214" s="8">
        <f>YEAR(Table13[[#This Row],[release_date]])</f>
        <v>2021</v>
      </c>
      <c r="R214" s="8">
        <f>ROUND(Table13[[#This Row],[duration_ms]]/60000,2)</f>
        <v>3.96</v>
      </c>
      <c r="S214" s="8" t="str">
        <f>IF(Table13[[#This Row],[valence]]&gt;=0.6, "Happy", IF(Table13[[#This Row],[valence]]&gt;=0.4, "Neutral", "Sad"))</f>
        <v>Neutral</v>
      </c>
      <c r="T214" s="8" t="str">
        <f>IF(Table13[[#This Row],[energy]]&gt;=0.7, "High Energy", IF(Table13[[#This Row],[energy]]&gt;=0.4, "Medium Energy", "Low Energy"))</f>
        <v>Low Energy</v>
      </c>
      <c r="U214" s="17" t="str">
        <f>IF(Table13[[#This Row],[popularity]]&gt;70, "Popular", IF(Table13[[#This Row],[popularity]]&lt;40, "Less Popular", "Mid"))</f>
        <v>Mid</v>
      </c>
    </row>
    <row r="215" spans="2:21" x14ac:dyDescent="0.3">
      <c r="B215" s="8" t="s">
        <v>279</v>
      </c>
      <c r="C215" s="8" t="s">
        <v>259</v>
      </c>
      <c r="D215" s="9">
        <v>44295</v>
      </c>
      <c r="E215" s="8">
        <v>15</v>
      </c>
      <c r="F215" s="8">
        <v>0.12569444444444444</v>
      </c>
      <c r="G215" s="8">
        <v>0.27291666666666664</v>
      </c>
      <c r="H215" s="8">
        <v>0.36874999999999997</v>
      </c>
      <c r="I215" s="11">
        <v>0</v>
      </c>
      <c r="J215" s="8">
        <v>0.11736111111111112</v>
      </c>
      <c r="K215" s="10">
        <v>-6112</v>
      </c>
      <c r="L215" s="8">
        <v>0.22847222222222222</v>
      </c>
      <c r="M215" s="10">
        <v>200391</v>
      </c>
      <c r="N215" s="8">
        <v>0.15555555555555556</v>
      </c>
      <c r="O215" s="8">
        <v>63</v>
      </c>
      <c r="P215" s="8">
        <v>312107</v>
      </c>
      <c r="Q215" s="8">
        <f>YEAR(Table13[[#This Row],[release_date]])</f>
        <v>2021</v>
      </c>
      <c r="R215" s="8">
        <f>ROUND(Table13[[#This Row],[duration_ms]]/60000,2)</f>
        <v>5.2</v>
      </c>
      <c r="S215" s="8" t="str">
        <f>IF(Table13[[#This Row],[valence]]&gt;=0.6, "Happy", IF(Table13[[#This Row],[valence]]&gt;=0.4, "Neutral", "Sad"))</f>
        <v>Sad</v>
      </c>
      <c r="T215" s="8" t="str">
        <f>IF(Table13[[#This Row],[energy]]&gt;=0.7, "High Energy", IF(Table13[[#This Row],[energy]]&gt;=0.4, "Medium Energy", "Low Energy"))</f>
        <v>Low Energy</v>
      </c>
      <c r="U215" s="17" t="str">
        <f>IF(Table13[[#This Row],[popularity]]&gt;70, "Popular", IF(Table13[[#This Row],[popularity]]&lt;40, "Less Popular", "Mid"))</f>
        <v>Mid</v>
      </c>
    </row>
    <row r="216" spans="2:21" x14ac:dyDescent="0.3">
      <c r="B216" s="8" t="s">
        <v>280</v>
      </c>
      <c r="C216" s="8" t="s">
        <v>259</v>
      </c>
      <c r="D216" s="9">
        <v>44295</v>
      </c>
      <c r="E216" s="8">
        <v>16</v>
      </c>
      <c r="F216" s="8">
        <v>0.56874999999999998</v>
      </c>
      <c r="G216" s="8">
        <v>0.37916666666666665</v>
      </c>
      <c r="H216" s="8">
        <v>0.18958333333333333</v>
      </c>
      <c r="I216" s="11">
        <v>0</v>
      </c>
      <c r="J216" s="8">
        <v>9.5138888888888884E-2</v>
      </c>
      <c r="K216" s="10">
        <v>-9208</v>
      </c>
      <c r="L216" s="8">
        <v>0.21388888888888891</v>
      </c>
      <c r="M216" s="10">
        <v>118753</v>
      </c>
      <c r="N216" s="8">
        <v>0.18819444444444444</v>
      </c>
      <c r="O216" s="8">
        <v>61</v>
      </c>
      <c r="P216" s="8">
        <v>267833</v>
      </c>
      <c r="Q216" s="8">
        <f>YEAR(Table13[[#This Row],[release_date]])</f>
        <v>2021</v>
      </c>
      <c r="R216" s="8">
        <f>ROUND(Table13[[#This Row],[duration_ms]]/60000,2)</f>
        <v>4.46</v>
      </c>
      <c r="S216" s="8" t="str">
        <f>IF(Table13[[#This Row],[valence]]&gt;=0.6, "Happy", IF(Table13[[#This Row],[valence]]&gt;=0.4, "Neutral", "Sad"))</f>
        <v>Sad</v>
      </c>
      <c r="T216" s="8" t="str">
        <f>IF(Table13[[#This Row],[energy]]&gt;=0.7, "High Energy", IF(Table13[[#This Row],[energy]]&gt;=0.4, "Medium Energy", "Low Energy"))</f>
        <v>Low Energy</v>
      </c>
      <c r="U216" s="17" t="str">
        <f>IF(Table13[[#This Row],[popularity]]&gt;70, "Popular", IF(Table13[[#This Row],[popularity]]&lt;40, "Less Popular", "Mid"))</f>
        <v>Mid</v>
      </c>
    </row>
    <row r="217" spans="2:21" x14ac:dyDescent="0.3">
      <c r="B217" s="8" t="s">
        <v>281</v>
      </c>
      <c r="C217" s="8" t="s">
        <v>259</v>
      </c>
      <c r="D217" s="9">
        <v>44295</v>
      </c>
      <c r="E217" s="8">
        <v>17</v>
      </c>
      <c r="F217" s="8">
        <v>0.28194444444444444</v>
      </c>
      <c r="G217" s="8">
        <v>0.33055555555555555</v>
      </c>
      <c r="H217" s="8">
        <v>0.39166666666666666</v>
      </c>
      <c r="I217" s="11">
        <v>0</v>
      </c>
      <c r="J217" s="8">
        <v>7.0833333333333331E-2</v>
      </c>
      <c r="K217" s="10">
        <v>-5677</v>
      </c>
      <c r="L217" s="8">
        <v>0.18680555555555556</v>
      </c>
      <c r="M217" s="10">
        <v>143929</v>
      </c>
      <c r="N217" s="8">
        <v>0.11597222222222221</v>
      </c>
      <c r="O217" s="8">
        <v>59</v>
      </c>
      <c r="P217" s="8">
        <v>237338</v>
      </c>
      <c r="Q217" s="8">
        <f>YEAR(Table13[[#This Row],[release_date]])</f>
        <v>2021</v>
      </c>
      <c r="R217" s="8">
        <f>ROUND(Table13[[#This Row],[duration_ms]]/60000,2)</f>
        <v>3.96</v>
      </c>
      <c r="S217" s="8" t="str">
        <f>IF(Table13[[#This Row],[valence]]&gt;=0.6, "Happy", IF(Table13[[#This Row],[valence]]&gt;=0.4, "Neutral", "Sad"))</f>
        <v>Sad</v>
      </c>
      <c r="T217" s="8" t="str">
        <f>IF(Table13[[#This Row],[energy]]&gt;=0.7, "High Energy", IF(Table13[[#This Row],[energy]]&gt;=0.4, "Medium Energy", "Low Energy"))</f>
        <v>Low Energy</v>
      </c>
      <c r="U217" s="17" t="str">
        <f>IF(Table13[[#This Row],[popularity]]&gt;70, "Popular", IF(Table13[[#This Row],[popularity]]&lt;40, "Less Popular", "Mid"))</f>
        <v>Mid</v>
      </c>
    </row>
    <row r="218" spans="2:21" x14ac:dyDescent="0.3">
      <c r="B218" s="8" t="s">
        <v>282</v>
      </c>
      <c r="C218" s="8" t="s">
        <v>259</v>
      </c>
      <c r="D218" s="9">
        <v>44295</v>
      </c>
      <c r="E218" s="8">
        <v>18</v>
      </c>
      <c r="F218" s="8">
        <v>0.10902777777777778</v>
      </c>
      <c r="G218" s="8">
        <v>0.31527777777777777</v>
      </c>
      <c r="H218" s="8">
        <v>0.38541666666666669</v>
      </c>
      <c r="I218" s="11">
        <v>0</v>
      </c>
      <c r="J218" s="8">
        <v>0.23819444444444446</v>
      </c>
      <c r="K218" s="8" t="s">
        <v>283</v>
      </c>
      <c r="L218" s="8">
        <v>0.19652777777777777</v>
      </c>
      <c r="M218" s="10">
        <v>171862</v>
      </c>
      <c r="N218" s="8">
        <v>0.11875000000000001</v>
      </c>
      <c r="O218" s="8">
        <v>59</v>
      </c>
      <c r="P218" s="8">
        <v>263865</v>
      </c>
      <c r="Q218" s="8">
        <f>YEAR(Table13[[#This Row],[release_date]])</f>
        <v>2021</v>
      </c>
      <c r="R218" s="8">
        <f>ROUND(Table13[[#This Row],[duration_ms]]/60000,2)</f>
        <v>4.4000000000000004</v>
      </c>
      <c r="S218" s="8" t="str">
        <f>IF(Table13[[#This Row],[valence]]&gt;=0.6, "Happy", IF(Table13[[#This Row],[valence]]&gt;=0.4, "Neutral", "Sad"))</f>
        <v>Sad</v>
      </c>
      <c r="T218" s="8" t="str">
        <f>IF(Table13[[#This Row],[energy]]&gt;=0.7, "High Energy", IF(Table13[[#This Row],[energy]]&gt;=0.4, "Medium Energy", "Low Energy"))</f>
        <v>Low Energy</v>
      </c>
      <c r="U218" s="17" t="str">
        <f>IF(Table13[[#This Row],[popularity]]&gt;70, "Popular", IF(Table13[[#This Row],[popularity]]&lt;40, "Less Popular", "Mid"))</f>
        <v>Mid</v>
      </c>
    </row>
    <row r="219" spans="2:21" x14ac:dyDescent="0.3">
      <c r="B219" s="8" t="s">
        <v>284</v>
      </c>
      <c r="C219" s="8" t="s">
        <v>259</v>
      </c>
      <c r="D219" s="9">
        <v>44295</v>
      </c>
      <c r="E219" s="8">
        <v>19</v>
      </c>
      <c r="F219" s="8">
        <v>0.19375000000000001</v>
      </c>
      <c r="G219" s="8">
        <v>0.3</v>
      </c>
      <c r="H219" s="8">
        <v>0.60625000000000007</v>
      </c>
      <c r="I219" s="11">
        <v>0</v>
      </c>
      <c r="J219" s="8">
        <v>0.11597222222222221</v>
      </c>
      <c r="K219" s="10">
        <v>-4367</v>
      </c>
      <c r="L219" s="8">
        <v>0.40069444444444446</v>
      </c>
      <c r="M219" s="10">
        <v>163936</v>
      </c>
      <c r="N219" s="8">
        <v>0.4368055555555555</v>
      </c>
      <c r="O219" s="8">
        <v>64</v>
      </c>
      <c r="P219" s="8">
        <v>238443</v>
      </c>
      <c r="Q219" s="8">
        <f>YEAR(Table13[[#This Row],[release_date]])</f>
        <v>2021</v>
      </c>
      <c r="R219" s="8">
        <f>ROUND(Table13[[#This Row],[duration_ms]]/60000,2)</f>
        <v>3.97</v>
      </c>
      <c r="S219" s="8" t="str">
        <f>IF(Table13[[#This Row],[valence]]&gt;=0.6, "Happy", IF(Table13[[#This Row],[valence]]&gt;=0.4, "Neutral", "Sad"))</f>
        <v>Neutral</v>
      </c>
      <c r="T219" s="8" t="str">
        <f>IF(Table13[[#This Row],[energy]]&gt;=0.7, "High Energy", IF(Table13[[#This Row],[energy]]&gt;=0.4, "Medium Energy", "Low Energy"))</f>
        <v>Medium Energy</v>
      </c>
      <c r="U219" s="17" t="str">
        <f>IF(Table13[[#This Row],[popularity]]&gt;70, "Popular", IF(Table13[[#This Row],[popularity]]&lt;40, "Less Popular", "Mid"))</f>
        <v>Mid</v>
      </c>
    </row>
    <row r="220" spans="2:21" x14ac:dyDescent="0.3">
      <c r="B220" s="8" t="s">
        <v>285</v>
      </c>
      <c r="C220" s="8" t="s">
        <v>259</v>
      </c>
      <c r="D220" s="9">
        <v>44295</v>
      </c>
      <c r="E220" s="8">
        <v>20</v>
      </c>
      <c r="F220" s="8">
        <v>9.375E-2</v>
      </c>
      <c r="G220" s="8">
        <v>0.3347222222222222</v>
      </c>
      <c r="H220" s="8">
        <v>0.54097222222222219</v>
      </c>
      <c r="I220" s="11">
        <v>0</v>
      </c>
      <c r="J220" s="8">
        <v>0.20555555555555557</v>
      </c>
      <c r="K220" s="10">
        <v>-5025</v>
      </c>
      <c r="L220" s="8">
        <v>0.28402777777777777</v>
      </c>
      <c r="M220" s="10">
        <v>158162</v>
      </c>
      <c r="N220" s="8">
        <v>0.22777777777777777</v>
      </c>
      <c r="O220" s="8">
        <v>62</v>
      </c>
      <c r="P220" s="8">
        <v>241822</v>
      </c>
      <c r="Q220" s="8">
        <f>YEAR(Table13[[#This Row],[release_date]])</f>
        <v>2021</v>
      </c>
      <c r="R220" s="8">
        <f>ROUND(Table13[[#This Row],[duration_ms]]/60000,2)</f>
        <v>4.03</v>
      </c>
      <c r="S220" s="8" t="str">
        <f>IF(Table13[[#This Row],[valence]]&gt;=0.6, "Happy", IF(Table13[[#This Row],[valence]]&gt;=0.4, "Neutral", "Sad"))</f>
        <v>Sad</v>
      </c>
      <c r="T220" s="8" t="str">
        <f>IF(Table13[[#This Row],[energy]]&gt;=0.7, "High Energy", IF(Table13[[#This Row],[energy]]&gt;=0.4, "Medium Energy", "Low Energy"))</f>
        <v>Medium Energy</v>
      </c>
      <c r="U220" s="17" t="str">
        <f>IF(Table13[[#This Row],[popularity]]&gt;70, "Popular", IF(Table13[[#This Row],[popularity]]&lt;40, "Less Popular", "Mid"))</f>
        <v>Mid</v>
      </c>
    </row>
    <row r="221" spans="2:21" x14ac:dyDescent="0.3">
      <c r="B221" s="8" t="s">
        <v>286</v>
      </c>
      <c r="C221" s="8" t="s">
        <v>259</v>
      </c>
      <c r="D221" s="9">
        <v>44295</v>
      </c>
      <c r="E221" s="8">
        <v>21</v>
      </c>
      <c r="F221" s="8">
        <v>0.56666666666666665</v>
      </c>
      <c r="G221" s="8">
        <v>0.41597222222222219</v>
      </c>
      <c r="H221" s="8">
        <v>0.3430555555555555</v>
      </c>
      <c r="I221" s="11">
        <v>0</v>
      </c>
      <c r="J221" s="8">
        <v>7.013888888888889E-2</v>
      </c>
      <c r="K221" s="8" t="s">
        <v>287</v>
      </c>
      <c r="L221" s="8">
        <v>0.25833333333333336</v>
      </c>
      <c r="M221" s="10">
        <v>142893</v>
      </c>
      <c r="N221" s="11">
        <v>3.0555555555555555E-2</v>
      </c>
      <c r="O221" s="8">
        <v>59</v>
      </c>
      <c r="P221" s="8">
        <v>220839</v>
      </c>
      <c r="Q221" s="8">
        <f>YEAR(Table13[[#This Row],[release_date]])</f>
        <v>2021</v>
      </c>
      <c r="R221" s="8">
        <f>ROUND(Table13[[#This Row],[duration_ms]]/60000,2)</f>
        <v>3.68</v>
      </c>
      <c r="S221" s="8" t="str">
        <f>IF(Table13[[#This Row],[valence]]&gt;=0.6, "Happy", IF(Table13[[#This Row],[valence]]&gt;=0.4, "Neutral", "Sad"))</f>
        <v>Sad</v>
      </c>
      <c r="T221" s="8" t="str">
        <f>IF(Table13[[#This Row],[energy]]&gt;=0.7, "High Energy", IF(Table13[[#This Row],[energy]]&gt;=0.4, "Medium Energy", "Low Energy"))</f>
        <v>Low Energy</v>
      </c>
      <c r="U221" s="17" t="str">
        <f>IF(Table13[[#This Row],[popularity]]&gt;70, "Popular", IF(Table13[[#This Row],[popularity]]&lt;40, "Less Popular", "Mid"))</f>
        <v>Mid</v>
      </c>
    </row>
    <row r="222" spans="2:21" x14ac:dyDescent="0.3">
      <c r="B222" s="8" t="s">
        <v>288</v>
      </c>
      <c r="C222" s="8" t="s">
        <v>259</v>
      </c>
      <c r="D222" s="9">
        <v>44295</v>
      </c>
      <c r="E222" s="8">
        <v>22</v>
      </c>
      <c r="F222" s="8">
        <v>0.1125</v>
      </c>
      <c r="G222" s="8">
        <v>4.5833333333333337E-2</v>
      </c>
      <c r="H222" s="8">
        <v>0.56736111111111109</v>
      </c>
      <c r="I222" s="11">
        <v>0</v>
      </c>
      <c r="J222" s="8">
        <v>0.46319444444444446</v>
      </c>
      <c r="K222" s="10">
        <v>-6269</v>
      </c>
      <c r="L222" s="8">
        <v>0.36180555555555555</v>
      </c>
      <c r="M222" s="10">
        <v>135942</v>
      </c>
      <c r="N222" s="8">
        <v>0.49583333333333335</v>
      </c>
      <c r="O222" s="8">
        <v>70</v>
      </c>
      <c r="P222" s="8">
        <v>277591</v>
      </c>
      <c r="Q222" s="8">
        <f>YEAR(Table13[[#This Row],[release_date]])</f>
        <v>2021</v>
      </c>
      <c r="R222" s="8">
        <f>ROUND(Table13[[#This Row],[duration_ms]]/60000,2)</f>
        <v>4.63</v>
      </c>
      <c r="S222" s="8" t="str">
        <f>IF(Table13[[#This Row],[valence]]&gt;=0.6, "Happy", IF(Table13[[#This Row],[valence]]&gt;=0.4, "Neutral", "Sad"))</f>
        <v>Neutral</v>
      </c>
      <c r="T222" s="8" t="str">
        <f>IF(Table13[[#This Row],[energy]]&gt;=0.7, "High Energy", IF(Table13[[#This Row],[energy]]&gt;=0.4, "Medium Energy", "Low Energy"))</f>
        <v>Medium Energy</v>
      </c>
      <c r="U222" s="17" t="str">
        <f>IF(Table13[[#This Row],[popularity]]&gt;70, "Popular", IF(Table13[[#This Row],[popularity]]&lt;40, "Less Popular", "Mid"))</f>
        <v>Mid</v>
      </c>
    </row>
    <row r="223" spans="2:21" x14ac:dyDescent="0.3">
      <c r="B223" s="8" t="s">
        <v>289</v>
      </c>
      <c r="C223" s="8" t="s">
        <v>259</v>
      </c>
      <c r="D223" s="9">
        <v>44295</v>
      </c>
      <c r="E223" s="8">
        <v>23</v>
      </c>
      <c r="F223" s="8">
        <v>0.58958333333333335</v>
      </c>
      <c r="G223" s="8">
        <v>0.42291666666666666</v>
      </c>
      <c r="H223" s="8">
        <v>0.2590277777777778</v>
      </c>
      <c r="I223" s="11">
        <v>0</v>
      </c>
      <c r="J223" s="8">
        <v>0.54097222222222219</v>
      </c>
      <c r="K223" s="10">
        <v>-8819</v>
      </c>
      <c r="L223" s="8">
        <v>0.18263888888888891</v>
      </c>
      <c r="M223" s="10">
        <v>106007</v>
      </c>
      <c r="N223" s="11">
        <v>9.0277777777777787E-3</v>
      </c>
      <c r="O223" s="8">
        <v>62</v>
      </c>
      <c r="P223" s="8">
        <v>244236</v>
      </c>
      <c r="Q223" s="8">
        <f>YEAR(Table13[[#This Row],[release_date]])</f>
        <v>2021</v>
      </c>
      <c r="R223" s="8">
        <f>ROUND(Table13[[#This Row],[duration_ms]]/60000,2)</f>
        <v>4.07</v>
      </c>
      <c r="S223" s="8" t="str">
        <f>IF(Table13[[#This Row],[valence]]&gt;=0.6, "Happy", IF(Table13[[#This Row],[valence]]&gt;=0.4, "Neutral", "Sad"))</f>
        <v>Sad</v>
      </c>
      <c r="T223" s="8" t="str">
        <f>IF(Table13[[#This Row],[energy]]&gt;=0.7, "High Energy", IF(Table13[[#This Row],[energy]]&gt;=0.4, "Medium Energy", "Low Energy"))</f>
        <v>Low Energy</v>
      </c>
      <c r="U223" s="17" t="str">
        <f>IF(Table13[[#This Row],[popularity]]&gt;70, "Popular", IF(Table13[[#This Row],[popularity]]&lt;40, "Less Popular", "Mid"))</f>
        <v>Mid</v>
      </c>
    </row>
    <row r="224" spans="2:21" x14ac:dyDescent="0.3">
      <c r="B224" s="8" t="s">
        <v>290</v>
      </c>
      <c r="C224" s="8" t="s">
        <v>259</v>
      </c>
      <c r="D224" s="9">
        <v>44295</v>
      </c>
      <c r="E224" s="8">
        <v>24</v>
      </c>
      <c r="F224" s="8">
        <v>0.15625</v>
      </c>
      <c r="G224" s="8">
        <v>0.40833333333333338</v>
      </c>
      <c r="H224" s="8">
        <v>0.42222222222222222</v>
      </c>
      <c r="I224" s="11">
        <v>0</v>
      </c>
      <c r="J224" s="8" t="s">
        <v>291</v>
      </c>
      <c r="K224" s="10">
        <v>-7062</v>
      </c>
      <c r="L224" s="8">
        <v>0.25347222222222221</v>
      </c>
      <c r="M224" s="10">
        <v>90201</v>
      </c>
      <c r="N224" s="8">
        <v>0.3527777777777778</v>
      </c>
      <c r="O224" s="8">
        <v>64</v>
      </c>
      <c r="P224" s="8">
        <v>189495</v>
      </c>
      <c r="Q224" s="8">
        <f>YEAR(Table13[[#This Row],[release_date]])</f>
        <v>2021</v>
      </c>
      <c r="R224" s="8">
        <f>ROUND(Table13[[#This Row],[duration_ms]]/60000,2)</f>
        <v>3.16</v>
      </c>
      <c r="S224" s="8" t="str">
        <f>IF(Table13[[#This Row],[valence]]&gt;=0.6, "Happy", IF(Table13[[#This Row],[valence]]&gt;=0.4, "Neutral", "Sad"))</f>
        <v>Sad</v>
      </c>
      <c r="T224" s="8" t="str">
        <f>IF(Table13[[#This Row],[energy]]&gt;=0.7, "High Energy", IF(Table13[[#This Row],[energy]]&gt;=0.4, "Medium Energy", "Low Energy"))</f>
        <v>Medium Energy</v>
      </c>
      <c r="U224" s="17" t="str">
        <f>IF(Table13[[#This Row],[popularity]]&gt;70, "Popular", IF(Table13[[#This Row],[popularity]]&lt;40, "Less Popular", "Mid"))</f>
        <v>Mid</v>
      </c>
    </row>
    <row r="225" spans="2:21" x14ac:dyDescent="0.3">
      <c r="B225" s="8" t="s">
        <v>292</v>
      </c>
      <c r="C225" s="8" t="s">
        <v>259</v>
      </c>
      <c r="D225" s="9">
        <v>44295</v>
      </c>
      <c r="E225" s="8">
        <v>25</v>
      </c>
      <c r="F225" s="8">
        <v>0.35694444444444445</v>
      </c>
      <c r="G225" s="8">
        <v>0.39097222222222222</v>
      </c>
      <c r="H225" s="8">
        <v>0.32847222222222222</v>
      </c>
      <c r="I225" s="8" t="s">
        <v>293</v>
      </c>
      <c r="J225" s="8">
        <v>7.5694444444444439E-2</v>
      </c>
      <c r="K225" s="10">
        <v>-11548</v>
      </c>
      <c r="L225" s="8">
        <v>0.34930555555555554</v>
      </c>
      <c r="M225" s="10">
        <v>101934</v>
      </c>
      <c r="N225" s="8">
        <v>0.28125</v>
      </c>
      <c r="O225" s="8">
        <v>63</v>
      </c>
      <c r="P225" s="8">
        <v>208608</v>
      </c>
      <c r="Q225" s="8">
        <f>YEAR(Table13[[#This Row],[release_date]])</f>
        <v>2021</v>
      </c>
      <c r="R225" s="8">
        <f>ROUND(Table13[[#This Row],[duration_ms]]/60000,2)</f>
        <v>3.48</v>
      </c>
      <c r="S225" s="8" t="str">
        <f>IF(Table13[[#This Row],[valence]]&gt;=0.6, "Happy", IF(Table13[[#This Row],[valence]]&gt;=0.4, "Neutral", "Sad"))</f>
        <v>Sad</v>
      </c>
      <c r="T225" s="8" t="str">
        <f>IF(Table13[[#This Row],[energy]]&gt;=0.7, "High Energy", IF(Table13[[#This Row],[energy]]&gt;=0.4, "Medium Energy", "Low Energy"))</f>
        <v>Low Energy</v>
      </c>
      <c r="U225" s="17" t="str">
        <f>IF(Table13[[#This Row],[popularity]]&gt;70, "Popular", IF(Table13[[#This Row],[popularity]]&lt;40, "Less Popular", "Mid"))</f>
        <v>Mid</v>
      </c>
    </row>
    <row r="226" spans="2:21" x14ac:dyDescent="0.3">
      <c r="B226" s="8" t="s">
        <v>294</v>
      </c>
      <c r="C226" s="8" t="s">
        <v>259</v>
      </c>
      <c r="D226" s="9">
        <v>44295</v>
      </c>
      <c r="E226" s="8">
        <v>26</v>
      </c>
      <c r="F226" s="8">
        <v>0.23194444444444443</v>
      </c>
      <c r="G226" s="8">
        <v>0.43333333333333335</v>
      </c>
      <c r="H226" s="8">
        <v>0.43333333333333335</v>
      </c>
      <c r="I226" s="11">
        <v>0</v>
      </c>
      <c r="J226" s="8">
        <v>0.69097222222222221</v>
      </c>
      <c r="K226" s="8" t="s">
        <v>295</v>
      </c>
      <c r="L226" s="8">
        <v>0.3743055555555555</v>
      </c>
      <c r="M226" s="10">
        <v>80132</v>
      </c>
      <c r="N226" s="8">
        <v>0.3659722222222222</v>
      </c>
      <c r="O226" s="8">
        <v>61</v>
      </c>
      <c r="P226" s="8">
        <v>242157</v>
      </c>
      <c r="Q226" s="8">
        <f>YEAR(Table13[[#This Row],[release_date]])</f>
        <v>2021</v>
      </c>
      <c r="R226" s="8">
        <f>ROUND(Table13[[#This Row],[duration_ms]]/60000,2)</f>
        <v>4.04</v>
      </c>
      <c r="S226" s="8" t="str">
        <f>IF(Table13[[#This Row],[valence]]&gt;=0.6, "Happy", IF(Table13[[#This Row],[valence]]&gt;=0.4, "Neutral", "Sad"))</f>
        <v>Sad</v>
      </c>
      <c r="T226" s="8" t="str">
        <f>IF(Table13[[#This Row],[energy]]&gt;=0.7, "High Energy", IF(Table13[[#This Row],[energy]]&gt;=0.4, "Medium Energy", "Low Energy"))</f>
        <v>Medium Energy</v>
      </c>
      <c r="U226" s="17" t="str">
        <f>IF(Table13[[#This Row],[popularity]]&gt;70, "Popular", IF(Table13[[#This Row],[popularity]]&lt;40, "Less Popular", "Mid"))</f>
        <v>Mid</v>
      </c>
    </row>
    <row r="227" spans="2:21" x14ac:dyDescent="0.3">
      <c r="B227" s="8" t="s">
        <v>296</v>
      </c>
      <c r="C227" s="8" t="s">
        <v>297</v>
      </c>
      <c r="D227" s="9">
        <v>44203</v>
      </c>
      <c r="E227" s="8">
        <v>1</v>
      </c>
      <c r="F227" s="8">
        <v>0.57847222222222217</v>
      </c>
      <c r="G227" s="8">
        <v>0.2722222222222222</v>
      </c>
      <c r="H227" s="8">
        <v>0.39861111111111108</v>
      </c>
      <c r="I227" s="8" t="s">
        <v>298</v>
      </c>
      <c r="J227" s="8">
        <v>0.10069444444444443</v>
      </c>
      <c r="K227" s="10">
        <v>-9195</v>
      </c>
      <c r="L227" s="11">
        <v>1.1805555555555555E-2</v>
      </c>
      <c r="M227" s="10">
        <v>81112</v>
      </c>
      <c r="N227" s="8">
        <v>0.36736111111111108</v>
      </c>
      <c r="O227" s="8">
        <v>66</v>
      </c>
      <c r="P227" s="8">
        <v>214706</v>
      </c>
      <c r="Q227" s="8">
        <f>YEAR(Table13[[#This Row],[release_date]])</f>
        <v>2021</v>
      </c>
      <c r="R227" s="8">
        <f>ROUND(Table13[[#This Row],[duration_ms]]/60000,2)</f>
        <v>3.58</v>
      </c>
      <c r="S227" s="8" t="str">
        <f>IF(Table13[[#This Row],[valence]]&gt;=0.6, "Happy", IF(Table13[[#This Row],[valence]]&gt;=0.4, "Neutral", "Sad"))</f>
        <v>Sad</v>
      </c>
      <c r="T227" s="8" t="str">
        <f>IF(Table13[[#This Row],[energy]]&gt;=0.7, "High Energy", IF(Table13[[#This Row],[energy]]&gt;=0.4, "Medium Energy", "Low Energy"))</f>
        <v>Low Energy</v>
      </c>
      <c r="U227" s="17" t="str">
        <f>IF(Table13[[#This Row],[popularity]]&gt;70, "Popular", IF(Table13[[#This Row],[popularity]]&lt;40, "Less Popular", "Mid"))</f>
        <v>Mid</v>
      </c>
    </row>
    <row r="228" spans="2:21" x14ac:dyDescent="0.3">
      <c r="B228" s="8" t="s">
        <v>299</v>
      </c>
      <c r="C228" s="8" t="s">
        <v>297</v>
      </c>
      <c r="D228" s="9">
        <v>44203</v>
      </c>
      <c r="E228" s="8">
        <v>2</v>
      </c>
      <c r="F228" s="8">
        <v>6.3888888888888898E-2</v>
      </c>
      <c r="G228" s="8">
        <v>0.32083333333333336</v>
      </c>
      <c r="H228" s="11">
        <v>1.6666666666666666E-2</v>
      </c>
      <c r="I228" s="11">
        <v>0</v>
      </c>
      <c r="J228" s="8">
        <v>7.8472222222222221E-2</v>
      </c>
      <c r="K228" s="10">
        <v>-12077</v>
      </c>
      <c r="L228" s="8">
        <v>0.26180555555555557</v>
      </c>
      <c r="M228" s="10">
        <v>171319</v>
      </c>
      <c r="N228" s="11">
        <v>2.2222222222222223E-2</v>
      </c>
      <c r="O228" s="8">
        <v>67</v>
      </c>
      <c r="P228" s="8">
        <v>244000</v>
      </c>
      <c r="Q228" s="8">
        <f>YEAR(Table13[[#This Row],[release_date]])</f>
        <v>2021</v>
      </c>
      <c r="R228" s="8">
        <f>ROUND(Table13[[#This Row],[duration_ms]]/60000,2)</f>
        <v>4.07</v>
      </c>
      <c r="S228" s="8" t="str">
        <f>IF(Table13[[#This Row],[valence]]&gt;=0.6, "Happy", IF(Table13[[#This Row],[valence]]&gt;=0.4, "Neutral", "Sad"))</f>
        <v>Sad</v>
      </c>
      <c r="T228" s="8" t="str">
        <f>IF(Table13[[#This Row],[energy]]&gt;=0.7, "High Energy", IF(Table13[[#This Row],[energy]]&gt;=0.4, "Medium Energy", "Low Energy"))</f>
        <v>Low Energy</v>
      </c>
      <c r="U228" s="17" t="str">
        <f>IF(Table13[[#This Row],[popularity]]&gt;70, "Popular", IF(Table13[[#This Row],[popularity]]&lt;40, "Less Popular", "Mid"))</f>
        <v>Mid</v>
      </c>
    </row>
    <row r="229" spans="2:21" x14ac:dyDescent="0.3">
      <c r="B229" s="8" t="s">
        <v>300</v>
      </c>
      <c r="C229" s="8" t="s">
        <v>297</v>
      </c>
      <c r="D229" s="9">
        <v>44203</v>
      </c>
      <c r="E229" s="8">
        <v>3</v>
      </c>
      <c r="F229" s="8">
        <v>5.7638888888888885E-2</v>
      </c>
      <c r="G229" s="8">
        <v>0.35555555555555557</v>
      </c>
      <c r="H229" s="8">
        <v>0.32083333333333336</v>
      </c>
      <c r="I229" s="8">
        <v>0.11527777777777777</v>
      </c>
      <c r="J229" s="8">
        <v>8.4027777777777771E-2</v>
      </c>
      <c r="K229" s="10">
        <v>-10491</v>
      </c>
      <c r="L229" s="8">
        <v>0.28333333333333333</v>
      </c>
      <c r="M229" s="14">
        <v>4.6701388888888884</v>
      </c>
      <c r="N229" s="8">
        <v>0.24513888888888891</v>
      </c>
      <c r="O229" s="8">
        <v>64</v>
      </c>
      <c r="P229" s="8">
        <v>185320</v>
      </c>
      <c r="Q229" s="8">
        <f>YEAR(Table13[[#This Row],[release_date]])</f>
        <v>2021</v>
      </c>
      <c r="R229" s="8">
        <f>ROUND(Table13[[#This Row],[duration_ms]]/60000,2)</f>
        <v>3.09</v>
      </c>
      <c r="S229" s="8" t="str">
        <f>IF(Table13[[#This Row],[valence]]&gt;=0.6, "Happy", IF(Table13[[#This Row],[valence]]&gt;=0.4, "Neutral", "Sad"))</f>
        <v>Sad</v>
      </c>
      <c r="T229" s="8" t="str">
        <f>IF(Table13[[#This Row],[energy]]&gt;=0.7, "High Energy", IF(Table13[[#This Row],[energy]]&gt;=0.4, "Medium Energy", "Low Energy"))</f>
        <v>Low Energy</v>
      </c>
      <c r="U229" s="17" t="str">
        <f>IF(Table13[[#This Row],[popularity]]&gt;70, "Popular", IF(Table13[[#This Row],[popularity]]&lt;40, "Less Popular", "Mid"))</f>
        <v>Mid</v>
      </c>
    </row>
    <row r="230" spans="2:21" x14ac:dyDescent="0.3">
      <c r="B230" s="8" t="s">
        <v>301</v>
      </c>
      <c r="C230" s="8" t="s">
        <v>297</v>
      </c>
      <c r="D230" s="9">
        <v>44203</v>
      </c>
      <c r="E230" s="8">
        <v>4</v>
      </c>
      <c r="F230" s="8">
        <v>0.51041666666666663</v>
      </c>
      <c r="G230" s="8">
        <v>0.39930555555555558</v>
      </c>
      <c r="H230" s="8">
        <v>0.30138888888888887</v>
      </c>
      <c r="I230" s="8" t="s">
        <v>302</v>
      </c>
      <c r="J230" s="8">
        <v>7.2916666666666671E-2</v>
      </c>
      <c r="K230" s="10">
        <v>-8193</v>
      </c>
      <c r="L230" s="8">
        <v>0.21666666666666667</v>
      </c>
      <c r="M230" s="10">
        <v>145916</v>
      </c>
      <c r="N230" s="8">
        <v>0.24166666666666667</v>
      </c>
      <c r="O230" s="8">
        <v>64</v>
      </c>
      <c r="P230" s="8">
        <v>229840</v>
      </c>
      <c r="Q230" s="8">
        <f>YEAR(Table13[[#This Row],[release_date]])</f>
        <v>2021</v>
      </c>
      <c r="R230" s="8">
        <f>ROUND(Table13[[#This Row],[duration_ms]]/60000,2)</f>
        <v>3.83</v>
      </c>
      <c r="S230" s="8" t="str">
        <f>IF(Table13[[#This Row],[valence]]&gt;=0.6, "Happy", IF(Table13[[#This Row],[valence]]&gt;=0.4, "Neutral", "Sad"))</f>
        <v>Sad</v>
      </c>
      <c r="T230" s="8" t="str">
        <f>IF(Table13[[#This Row],[energy]]&gt;=0.7, "High Energy", IF(Table13[[#This Row],[energy]]&gt;=0.4, "Medium Energy", "Low Energy"))</f>
        <v>Low Energy</v>
      </c>
      <c r="U230" s="17" t="str">
        <f>IF(Table13[[#This Row],[popularity]]&gt;70, "Popular", IF(Table13[[#This Row],[popularity]]&lt;40, "Less Popular", "Mid"))</f>
        <v>Mid</v>
      </c>
    </row>
    <row r="231" spans="2:21" x14ac:dyDescent="0.3">
      <c r="B231" s="8" t="s">
        <v>303</v>
      </c>
      <c r="C231" s="8" t="s">
        <v>297</v>
      </c>
      <c r="D231" s="9">
        <v>44203</v>
      </c>
      <c r="E231" s="8">
        <v>5</v>
      </c>
      <c r="F231" s="8">
        <v>0.60972222222222217</v>
      </c>
      <c r="G231" s="8">
        <v>0.21944444444444444</v>
      </c>
      <c r="H231" s="8">
        <v>0.25069444444444444</v>
      </c>
      <c r="I231" s="8" t="s">
        <v>304</v>
      </c>
      <c r="J231" s="8">
        <v>0.55347222222222225</v>
      </c>
      <c r="K231" s="10">
        <v>-10381</v>
      </c>
      <c r="L231" s="8">
        <v>0.33888888888888885</v>
      </c>
      <c r="M231" s="10">
        <v>74952</v>
      </c>
      <c r="N231" s="8">
        <v>0.1534722222222222</v>
      </c>
      <c r="O231" s="8">
        <v>66</v>
      </c>
      <c r="P231" s="8">
        <v>245440</v>
      </c>
      <c r="Q231" s="8">
        <f>YEAR(Table13[[#This Row],[release_date]])</f>
        <v>2021</v>
      </c>
      <c r="R231" s="8">
        <f>ROUND(Table13[[#This Row],[duration_ms]]/60000,2)</f>
        <v>4.09</v>
      </c>
      <c r="S231" s="8" t="str">
        <f>IF(Table13[[#This Row],[valence]]&gt;=0.6, "Happy", IF(Table13[[#This Row],[valence]]&gt;=0.4, "Neutral", "Sad"))</f>
        <v>Sad</v>
      </c>
      <c r="T231" s="8" t="str">
        <f>IF(Table13[[#This Row],[energy]]&gt;=0.7, "High Energy", IF(Table13[[#This Row],[energy]]&gt;=0.4, "Medium Energy", "Low Energy"))</f>
        <v>Low Energy</v>
      </c>
      <c r="U231" s="17" t="str">
        <f>IF(Table13[[#This Row],[popularity]]&gt;70, "Popular", IF(Table13[[#This Row],[popularity]]&lt;40, "Less Popular", "Mid"))</f>
        <v>Mid</v>
      </c>
    </row>
    <row r="232" spans="2:21" x14ac:dyDescent="0.3">
      <c r="B232" s="8" t="s">
        <v>305</v>
      </c>
      <c r="C232" s="8" t="s">
        <v>297</v>
      </c>
      <c r="D232" s="9">
        <v>44203</v>
      </c>
      <c r="E232" s="8">
        <v>6</v>
      </c>
      <c r="F232" s="8">
        <v>0.2902777777777778</v>
      </c>
      <c r="G232" s="8">
        <v>0.37916666666666665</v>
      </c>
      <c r="H232" s="8">
        <v>0.42569444444444443</v>
      </c>
      <c r="I232" s="11">
        <v>0</v>
      </c>
      <c r="J232" s="8">
        <v>7.1527777777777773E-2</v>
      </c>
      <c r="K232" s="10">
        <v>-7589</v>
      </c>
      <c r="L232" s="8">
        <v>0.18333333333333335</v>
      </c>
      <c r="M232" s="10">
        <v>79015</v>
      </c>
      <c r="N232" s="8">
        <v>0.37152777777777773</v>
      </c>
      <c r="O232" s="8">
        <v>64</v>
      </c>
      <c r="P232" s="8">
        <v>215626</v>
      </c>
      <c r="Q232" s="8">
        <f>YEAR(Table13[[#This Row],[release_date]])</f>
        <v>2021</v>
      </c>
      <c r="R232" s="8">
        <f>ROUND(Table13[[#This Row],[duration_ms]]/60000,2)</f>
        <v>3.59</v>
      </c>
      <c r="S232" s="8" t="str">
        <f>IF(Table13[[#This Row],[valence]]&gt;=0.6, "Happy", IF(Table13[[#This Row],[valence]]&gt;=0.4, "Neutral", "Sad"))</f>
        <v>Sad</v>
      </c>
      <c r="T232" s="8" t="str">
        <f>IF(Table13[[#This Row],[energy]]&gt;=0.7, "High Energy", IF(Table13[[#This Row],[energy]]&gt;=0.4, "Medium Energy", "Low Energy"))</f>
        <v>Medium Energy</v>
      </c>
      <c r="U232" s="17" t="str">
        <f>IF(Table13[[#This Row],[popularity]]&gt;70, "Popular", IF(Table13[[#This Row],[popularity]]&lt;40, "Less Popular", "Mid"))</f>
        <v>Mid</v>
      </c>
    </row>
    <row r="233" spans="2:21" x14ac:dyDescent="0.3">
      <c r="B233" s="8" t="s">
        <v>306</v>
      </c>
      <c r="C233" s="8" t="s">
        <v>297</v>
      </c>
      <c r="D233" s="9">
        <v>44203</v>
      </c>
      <c r="E233" s="8">
        <v>7</v>
      </c>
      <c r="F233" s="8">
        <v>6.0416666666666667E-2</v>
      </c>
      <c r="G233" s="8">
        <v>0.38819444444444445</v>
      </c>
      <c r="H233" s="8">
        <v>0.23194444444444443</v>
      </c>
      <c r="I233" s="11">
        <v>0</v>
      </c>
      <c r="J233" s="8">
        <v>7.9166666666666663E-2</v>
      </c>
      <c r="K233" s="10">
        <v>-10733</v>
      </c>
      <c r="L233" s="8">
        <v>0.26111111111111113</v>
      </c>
      <c r="M233" s="10">
        <v>122079</v>
      </c>
      <c r="N233" s="8">
        <v>0.14652777777777778</v>
      </c>
      <c r="O233" s="8">
        <v>62</v>
      </c>
      <c r="P233" s="8">
        <v>315146</v>
      </c>
      <c r="Q233" s="8">
        <f>YEAR(Table13[[#This Row],[release_date]])</f>
        <v>2021</v>
      </c>
      <c r="R233" s="8">
        <f>ROUND(Table13[[#This Row],[duration_ms]]/60000,2)</f>
        <v>5.25</v>
      </c>
      <c r="S233" s="8" t="str">
        <f>IF(Table13[[#This Row],[valence]]&gt;=0.6, "Happy", IF(Table13[[#This Row],[valence]]&gt;=0.4, "Neutral", "Sad"))</f>
        <v>Sad</v>
      </c>
      <c r="T233" s="8" t="str">
        <f>IF(Table13[[#This Row],[energy]]&gt;=0.7, "High Energy", IF(Table13[[#This Row],[energy]]&gt;=0.4, "Medium Energy", "Low Energy"))</f>
        <v>Low Energy</v>
      </c>
      <c r="U233" s="17" t="str">
        <f>IF(Table13[[#This Row],[popularity]]&gt;70, "Popular", IF(Table13[[#This Row],[popularity]]&lt;40, "Less Popular", "Mid"))</f>
        <v>Mid</v>
      </c>
    </row>
    <row r="234" spans="2:21" x14ac:dyDescent="0.3">
      <c r="B234" s="8" t="s">
        <v>307</v>
      </c>
      <c r="C234" s="8" t="s">
        <v>297</v>
      </c>
      <c r="D234" s="9">
        <v>44203</v>
      </c>
      <c r="E234" s="8">
        <v>8</v>
      </c>
      <c r="F234" s="8">
        <v>0.48333333333333334</v>
      </c>
      <c r="G234" s="8">
        <v>0.4201388888888889</v>
      </c>
      <c r="H234" s="8">
        <v>0.33888888888888885</v>
      </c>
      <c r="I234" s="11">
        <v>0</v>
      </c>
      <c r="J234" s="8">
        <v>8.9583333333333334E-2</v>
      </c>
      <c r="K234" s="10">
        <v>-8322</v>
      </c>
      <c r="L234" s="8">
        <v>0.18333333333333335</v>
      </c>
      <c r="M234" s="10">
        <v>119966</v>
      </c>
      <c r="N234" s="8">
        <v>0.24583333333333335</v>
      </c>
      <c r="O234" s="8">
        <v>61</v>
      </c>
      <c r="P234" s="8">
        <v>225880</v>
      </c>
      <c r="Q234" s="8">
        <f>YEAR(Table13[[#This Row],[release_date]])</f>
        <v>2021</v>
      </c>
      <c r="R234" s="8">
        <f>ROUND(Table13[[#This Row],[duration_ms]]/60000,2)</f>
        <v>3.76</v>
      </c>
      <c r="S234" s="8" t="str">
        <f>IF(Table13[[#This Row],[valence]]&gt;=0.6, "Happy", IF(Table13[[#This Row],[valence]]&gt;=0.4, "Neutral", "Sad"))</f>
        <v>Sad</v>
      </c>
      <c r="T234" s="8" t="str">
        <f>IF(Table13[[#This Row],[energy]]&gt;=0.7, "High Energy", IF(Table13[[#This Row],[energy]]&gt;=0.4, "Medium Energy", "Low Energy"))</f>
        <v>Low Energy</v>
      </c>
      <c r="U234" s="17" t="str">
        <f>IF(Table13[[#This Row],[popularity]]&gt;70, "Popular", IF(Table13[[#This Row],[popularity]]&lt;40, "Less Popular", "Mid"))</f>
        <v>Mid</v>
      </c>
    </row>
    <row r="235" spans="2:21" x14ac:dyDescent="0.3">
      <c r="B235" s="8" t="s">
        <v>308</v>
      </c>
      <c r="C235" s="8" t="s">
        <v>297</v>
      </c>
      <c r="D235" s="9">
        <v>44203</v>
      </c>
      <c r="E235" s="8">
        <v>9</v>
      </c>
      <c r="F235" s="8">
        <v>0.56874999999999998</v>
      </c>
      <c r="G235" s="8">
        <v>0.37291666666666662</v>
      </c>
      <c r="H235" s="8">
        <v>0.37291666666666662</v>
      </c>
      <c r="I235" s="8" t="s">
        <v>309</v>
      </c>
      <c r="J235" s="8">
        <v>9.8611111111111108E-2</v>
      </c>
      <c r="K235" s="10">
        <v>-11266</v>
      </c>
      <c r="L235" s="8">
        <v>0.4284722222222222</v>
      </c>
      <c r="M235" s="10">
        <v>107895</v>
      </c>
      <c r="N235" s="8">
        <v>0.20277777777777775</v>
      </c>
      <c r="O235" s="8">
        <v>63</v>
      </c>
      <c r="P235" s="8">
        <v>275320</v>
      </c>
      <c r="Q235" s="8">
        <f>YEAR(Table13[[#This Row],[release_date]])</f>
        <v>2021</v>
      </c>
      <c r="R235" s="8">
        <f>ROUND(Table13[[#This Row],[duration_ms]]/60000,2)</f>
        <v>4.59</v>
      </c>
      <c r="S235" s="8" t="str">
        <f>IF(Table13[[#This Row],[valence]]&gt;=0.6, "Happy", IF(Table13[[#This Row],[valence]]&gt;=0.4, "Neutral", "Sad"))</f>
        <v>Sad</v>
      </c>
      <c r="T235" s="8" t="str">
        <f>IF(Table13[[#This Row],[energy]]&gt;=0.7, "High Energy", IF(Table13[[#This Row],[energy]]&gt;=0.4, "Medium Energy", "Low Energy"))</f>
        <v>Low Energy</v>
      </c>
      <c r="U235" s="17" t="str">
        <f>IF(Table13[[#This Row],[popularity]]&gt;70, "Popular", IF(Table13[[#This Row],[popularity]]&lt;40, "Less Popular", "Mid"))</f>
        <v>Mid</v>
      </c>
    </row>
    <row r="236" spans="2:21" x14ac:dyDescent="0.3">
      <c r="B236" s="8" t="s">
        <v>310</v>
      </c>
      <c r="C236" s="8" t="s">
        <v>297</v>
      </c>
      <c r="D236" s="9">
        <v>44203</v>
      </c>
      <c r="E236" s="8">
        <v>10</v>
      </c>
      <c r="F236" s="8">
        <v>0.59375</v>
      </c>
      <c r="G236" s="8">
        <v>0.3576388888888889</v>
      </c>
      <c r="H236" s="8">
        <v>0.37847222222222227</v>
      </c>
      <c r="I236" s="8" t="s">
        <v>311</v>
      </c>
      <c r="J236" s="8">
        <v>0.63958333333333328</v>
      </c>
      <c r="K236" s="10">
        <v>-9277</v>
      </c>
      <c r="L236" s="8">
        <v>0.24513888888888891</v>
      </c>
      <c r="M236" s="10">
        <v>88856</v>
      </c>
      <c r="N236" s="8">
        <v>0.37152777777777773</v>
      </c>
      <c r="O236" s="8">
        <v>63</v>
      </c>
      <c r="P236" s="8">
        <v>260440</v>
      </c>
      <c r="Q236" s="8">
        <f>YEAR(Table13[[#This Row],[release_date]])</f>
        <v>2021</v>
      </c>
      <c r="R236" s="8">
        <f>ROUND(Table13[[#This Row],[duration_ms]]/60000,2)</f>
        <v>4.34</v>
      </c>
      <c r="S236" s="8" t="str">
        <f>IF(Table13[[#This Row],[valence]]&gt;=0.6, "Happy", IF(Table13[[#This Row],[valence]]&gt;=0.4, "Neutral", "Sad"))</f>
        <v>Sad</v>
      </c>
      <c r="T236" s="8" t="str">
        <f>IF(Table13[[#This Row],[energy]]&gt;=0.7, "High Energy", IF(Table13[[#This Row],[energy]]&gt;=0.4, "Medium Energy", "Low Energy"))</f>
        <v>Low Energy</v>
      </c>
      <c r="U236" s="17" t="str">
        <f>IF(Table13[[#This Row],[popularity]]&gt;70, "Popular", IF(Table13[[#This Row],[popularity]]&lt;40, "Less Popular", "Mid"))</f>
        <v>Mid</v>
      </c>
    </row>
    <row r="237" spans="2:21" x14ac:dyDescent="0.3">
      <c r="B237" s="8" t="s">
        <v>312</v>
      </c>
      <c r="C237" s="8" t="s">
        <v>297</v>
      </c>
      <c r="D237" s="9">
        <v>44203</v>
      </c>
      <c r="E237" s="8">
        <v>11</v>
      </c>
      <c r="F237" s="8">
        <v>0.53333333333333333</v>
      </c>
      <c r="G237" s="8">
        <v>0.41944444444444445</v>
      </c>
      <c r="H237" s="8">
        <v>0.35902777777777778</v>
      </c>
      <c r="I237" s="8" t="s">
        <v>313</v>
      </c>
      <c r="J237" s="8">
        <v>8.5416666666666655E-2</v>
      </c>
      <c r="K237" s="10">
        <v>-9014</v>
      </c>
      <c r="L237" s="8">
        <v>0.24097222222222223</v>
      </c>
      <c r="M237" s="10">
        <v>127967</v>
      </c>
      <c r="N237" s="8">
        <v>0.35486111111111113</v>
      </c>
      <c r="O237" s="8">
        <v>63</v>
      </c>
      <c r="P237" s="8">
        <v>275040</v>
      </c>
      <c r="Q237" s="8">
        <f>YEAR(Table13[[#This Row],[release_date]])</f>
        <v>2021</v>
      </c>
      <c r="R237" s="8">
        <f>ROUND(Table13[[#This Row],[duration_ms]]/60000,2)</f>
        <v>4.58</v>
      </c>
      <c r="S237" s="8" t="str">
        <f>IF(Table13[[#This Row],[valence]]&gt;=0.6, "Happy", IF(Table13[[#This Row],[valence]]&gt;=0.4, "Neutral", "Sad"))</f>
        <v>Sad</v>
      </c>
      <c r="T237" s="8" t="str">
        <f>IF(Table13[[#This Row],[energy]]&gt;=0.7, "High Energy", IF(Table13[[#This Row],[energy]]&gt;=0.4, "Medium Energy", "Low Energy"))</f>
        <v>Low Energy</v>
      </c>
      <c r="U237" s="17" t="str">
        <f>IF(Table13[[#This Row],[popularity]]&gt;70, "Popular", IF(Table13[[#This Row],[popularity]]&lt;40, "Less Popular", "Mid"))</f>
        <v>Mid</v>
      </c>
    </row>
    <row r="238" spans="2:21" x14ac:dyDescent="0.3">
      <c r="B238" s="8" t="s">
        <v>314</v>
      </c>
      <c r="C238" s="8" t="s">
        <v>297</v>
      </c>
      <c r="D238" s="9">
        <v>44203</v>
      </c>
      <c r="E238" s="8">
        <v>12</v>
      </c>
      <c r="F238" s="8">
        <v>4.5833333333333337E-2</v>
      </c>
      <c r="G238" s="8">
        <v>0.37916666666666665</v>
      </c>
      <c r="H238" s="8">
        <v>5.0694444444444438E-2</v>
      </c>
      <c r="I238" s="8">
        <v>0.12430555555555556</v>
      </c>
      <c r="J238" s="8">
        <v>0.67499999999999993</v>
      </c>
      <c r="K238" s="10">
        <v>-7704</v>
      </c>
      <c r="L238" s="8">
        <v>0.28958333333333336</v>
      </c>
      <c r="M238" s="10">
        <v>157895</v>
      </c>
      <c r="N238" s="8">
        <v>0.3979166666666667</v>
      </c>
      <c r="O238" s="8">
        <v>62</v>
      </c>
      <c r="P238" s="8">
        <v>215920</v>
      </c>
      <c r="Q238" s="8">
        <f>YEAR(Table13[[#This Row],[release_date]])</f>
        <v>2021</v>
      </c>
      <c r="R238" s="8">
        <f>ROUND(Table13[[#This Row],[duration_ms]]/60000,2)</f>
        <v>3.6</v>
      </c>
      <c r="S238" s="8" t="str">
        <f>IF(Table13[[#This Row],[valence]]&gt;=0.6, "Happy", IF(Table13[[#This Row],[valence]]&gt;=0.4, "Neutral", "Sad"))</f>
        <v>Sad</v>
      </c>
      <c r="T238" s="8" t="str">
        <f>IF(Table13[[#This Row],[energy]]&gt;=0.7, "High Energy", IF(Table13[[#This Row],[energy]]&gt;=0.4, "Medium Energy", "Low Energy"))</f>
        <v>Low Energy</v>
      </c>
      <c r="U238" s="17" t="str">
        <f>IF(Table13[[#This Row],[popularity]]&gt;70, "Popular", IF(Table13[[#This Row],[popularity]]&lt;40, "Less Popular", "Mid"))</f>
        <v>Mid</v>
      </c>
    </row>
    <row r="239" spans="2:21" x14ac:dyDescent="0.3">
      <c r="B239" s="8" t="s">
        <v>315</v>
      </c>
      <c r="C239" s="8" t="s">
        <v>297</v>
      </c>
      <c r="D239" s="9">
        <v>44203</v>
      </c>
      <c r="E239" s="8">
        <v>13</v>
      </c>
      <c r="F239" s="8">
        <v>0.60833333333333328</v>
      </c>
      <c r="G239" s="8">
        <v>0.37152777777777773</v>
      </c>
      <c r="H239" s="8">
        <v>0.38958333333333334</v>
      </c>
      <c r="I239" s="8" t="s">
        <v>316</v>
      </c>
      <c r="J239" s="8">
        <v>7.9861111111111119E-2</v>
      </c>
      <c r="K239" s="10">
        <v>-11609</v>
      </c>
      <c r="L239" s="8">
        <v>0.33611111111111108</v>
      </c>
      <c r="M239" s="10">
        <v>96103</v>
      </c>
      <c r="N239" s="8">
        <v>0.19930555555555554</v>
      </c>
      <c r="O239" s="8">
        <v>63</v>
      </c>
      <c r="P239" s="8">
        <v>257773</v>
      </c>
      <c r="Q239" s="8">
        <f>YEAR(Table13[[#This Row],[release_date]])</f>
        <v>2021</v>
      </c>
      <c r="R239" s="8">
        <f>ROUND(Table13[[#This Row],[duration_ms]]/60000,2)</f>
        <v>4.3</v>
      </c>
      <c r="S239" s="8" t="str">
        <f>IF(Table13[[#This Row],[valence]]&gt;=0.6, "Happy", IF(Table13[[#This Row],[valence]]&gt;=0.4, "Neutral", "Sad"))</f>
        <v>Sad</v>
      </c>
      <c r="T239" s="8" t="str">
        <f>IF(Table13[[#This Row],[energy]]&gt;=0.7, "High Energy", IF(Table13[[#This Row],[energy]]&gt;=0.4, "Medium Energy", "Low Energy"))</f>
        <v>Low Energy</v>
      </c>
      <c r="U239" s="17" t="str">
        <f>IF(Table13[[#This Row],[popularity]]&gt;70, "Popular", IF(Table13[[#This Row],[popularity]]&lt;40, "Less Popular", "Mid"))</f>
        <v>Mid</v>
      </c>
    </row>
    <row r="240" spans="2:21" x14ac:dyDescent="0.3">
      <c r="B240" s="8" t="s">
        <v>317</v>
      </c>
      <c r="C240" s="8" t="s">
        <v>297</v>
      </c>
      <c r="D240" s="9">
        <v>44203</v>
      </c>
      <c r="E240" s="8">
        <v>14</v>
      </c>
      <c r="F240" s="8">
        <v>0.57986111111111105</v>
      </c>
      <c r="G240" s="8">
        <v>0.47847222222222219</v>
      </c>
      <c r="H240" s="8">
        <v>0.48888888888888887</v>
      </c>
      <c r="I240" s="8" t="s">
        <v>318</v>
      </c>
      <c r="J240" s="8">
        <v>9.3055555555555558E-2</v>
      </c>
      <c r="K240" s="10">
        <v>-10813</v>
      </c>
      <c r="L240" s="8">
        <v>0.17013888888888887</v>
      </c>
      <c r="M240" s="10">
        <v>151884</v>
      </c>
      <c r="N240" s="8">
        <v>6.3888888888888898E-2</v>
      </c>
      <c r="O240" s="8">
        <v>60</v>
      </c>
      <c r="P240" s="8">
        <v>180653</v>
      </c>
      <c r="Q240" s="8">
        <f>YEAR(Table13[[#This Row],[release_date]])</f>
        <v>2021</v>
      </c>
      <c r="R240" s="8">
        <f>ROUND(Table13[[#This Row],[duration_ms]]/60000,2)</f>
        <v>3.01</v>
      </c>
      <c r="S240" s="8" t="str">
        <f>IF(Table13[[#This Row],[valence]]&gt;=0.6, "Happy", IF(Table13[[#This Row],[valence]]&gt;=0.4, "Neutral", "Sad"))</f>
        <v>Sad</v>
      </c>
      <c r="T240" s="8" t="str">
        <f>IF(Table13[[#This Row],[energy]]&gt;=0.7, "High Energy", IF(Table13[[#This Row],[energy]]&gt;=0.4, "Medium Energy", "Low Energy"))</f>
        <v>Medium Energy</v>
      </c>
      <c r="U240" s="17" t="str">
        <f>IF(Table13[[#This Row],[popularity]]&gt;70, "Popular", IF(Table13[[#This Row],[popularity]]&lt;40, "Less Popular", "Mid"))</f>
        <v>Mid</v>
      </c>
    </row>
    <row r="241" spans="2:21" x14ac:dyDescent="0.3">
      <c r="B241" s="8" t="s">
        <v>319</v>
      </c>
      <c r="C241" s="8" t="s">
        <v>297</v>
      </c>
      <c r="D241" s="9">
        <v>44203</v>
      </c>
      <c r="E241" s="8">
        <v>15</v>
      </c>
      <c r="F241" s="8">
        <v>0.65069444444444446</v>
      </c>
      <c r="G241" s="11">
        <v>2.7083333333333334E-2</v>
      </c>
      <c r="H241" s="11">
        <v>1.8749999999999999E-2</v>
      </c>
      <c r="I241" s="8" t="s">
        <v>320</v>
      </c>
      <c r="J241" s="8">
        <v>7.7083333333333337E-2</v>
      </c>
      <c r="K241" s="10">
        <v>-10673</v>
      </c>
      <c r="L241" s="8">
        <v>0.21388888888888891</v>
      </c>
      <c r="M241" s="10">
        <v>125177</v>
      </c>
      <c r="N241" s="11">
        <v>2.2222222222222223E-2</v>
      </c>
      <c r="O241" s="8">
        <v>64</v>
      </c>
      <c r="P241" s="8">
        <v>304106</v>
      </c>
      <c r="Q241" s="8">
        <f>YEAR(Table13[[#This Row],[release_date]])</f>
        <v>2021</v>
      </c>
      <c r="R241" s="8">
        <f>ROUND(Table13[[#This Row],[duration_ms]]/60000,2)</f>
        <v>5.07</v>
      </c>
      <c r="S241" s="8" t="str">
        <f>IF(Table13[[#This Row],[valence]]&gt;=0.6, "Happy", IF(Table13[[#This Row],[valence]]&gt;=0.4, "Neutral", "Sad"))</f>
        <v>Sad</v>
      </c>
      <c r="T241" s="8" t="str">
        <f>IF(Table13[[#This Row],[energy]]&gt;=0.7, "High Energy", IF(Table13[[#This Row],[energy]]&gt;=0.4, "Medium Energy", "Low Energy"))</f>
        <v>Low Energy</v>
      </c>
      <c r="U241" s="17" t="str">
        <f>IF(Table13[[#This Row],[popularity]]&gt;70, "Popular", IF(Table13[[#This Row],[popularity]]&lt;40, "Less Popular", "Mid"))</f>
        <v>Mid</v>
      </c>
    </row>
    <row r="242" spans="2:21" x14ac:dyDescent="0.3">
      <c r="B242" s="8" t="s">
        <v>321</v>
      </c>
      <c r="C242" s="8" t="s">
        <v>297</v>
      </c>
      <c r="D242" s="9">
        <v>44203</v>
      </c>
      <c r="E242" s="8">
        <v>16</v>
      </c>
      <c r="F242" s="8">
        <v>0.53402777777777777</v>
      </c>
      <c r="G242" s="8">
        <v>0.40347222222222223</v>
      </c>
      <c r="H242" s="8">
        <v>0.42986111111111108</v>
      </c>
      <c r="I242" s="8" t="s">
        <v>322</v>
      </c>
      <c r="J242" s="8">
        <v>8.1250000000000003E-2</v>
      </c>
      <c r="K242" s="10">
        <v>-6524</v>
      </c>
      <c r="L242" s="8">
        <v>0.19583333333333333</v>
      </c>
      <c r="M242" s="10">
        <v>137915</v>
      </c>
      <c r="N242" s="8">
        <v>0.44791666666666669</v>
      </c>
      <c r="O242" s="8">
        <v>74</v>
      </c>
      <c r="P242" s="8">
        <v>245026</v>
      </c>
      <c r="Q242" s="8">
        <f>YEAR(Table13[[#This Row],[release_date]])</f>
        <v>2021</v>
      </c>
      <c r="R242" s="8">
        <f>ROUND(Table13[[#This Row],[duration_ms]]/60000,2)</f>
        <v>4.08</v>
      </c>
      <c r="S242" s="8" t="str">
        <f>IF(Table13[[#This Row],[valence]]&gt;=0.6, "Happy", IF(Table13[[#This Row],[valence]]&gt;=0.4, "Neutral", "Sad"))</f>
        <v>Neutral</v>
      </c>
      <c r="T242" s="8" t="str">
        <f>IF(Table13[[#This Row],[energy]]&gt;=0.7, "High Energy", IF(Table13[[#This Row],[energy]]&gt;=0.4, "Medium Energy", "Low Energy"))</f>
        <v>Medium Energy</v>
      </c>
      <c r="U242" s="17" t="str">
        <f>IF(Table13[[#This Row],[popularity]]&gt;70, "Popular", IF(Table13[[#This Row],[popularity]]&lt;40, "Less Popular", "Mid"))</f>
        <v>Popular</v>
      </c>
    </row>
    <row r="243" spans="2:21" x14ac:dyDescent="0.3">
      <c r="B243" s="8" t="s">
        <v>323</v>
      </c>
      <c r="C243" s="8" t="s">
        <v>297</v>
      </c>
      <c r="D243" s="9">
        <v>44203</v>
      </c>
      <c r="E243" s="8">
        <v>17</v>
      </c>
      <c r="F243" s="8">
        <v>0.55625000000000002</v>
      </c>
      <c r="G243" s="8">
        <v>0.41111111111111115</v>
      </c>
      <c r="H243" s="11">
        <v>2.8472222222222222E-2</v>
      </c>
      <c r="I243" s="8" t="s">
        <v>324</v>
      </c>
      <c r="J243" s="11">
        <v>6.2499999999999995E-3</v>
      </c>
      <c r="K243" s="10">
        <v>-12426</v>
      </c>
      <c r="L243" s="8">
        <v>0.27569444444444441</v>
      </c>
      <c r="M243" s="10">
        <v>151923</v>
      </c>
      <c r="N243" s="8">
        <v>0.28888888888888892</v>
      </c>
      <c r="O243" s="8">
        <v>66</v>
      </c>
      <c r="P243" s="8">
        <v>254640</v>
      </c>
      <c r="Q243" s="8">
        <f>YEAR(Table13[[#This Row],[release_date]])</f>
        <v>2021</v>
      </c>
      <c r="R243" s="8">
        <f>ROUND(Table13[[#This Row],[duration_ms]]/60000,2)</f>
        <v>4.24</v>
      </c>
      <c r="S243" s="8" t="str">
        <f>IF(Table13[[#This Row],[valence]]&gt;=0.6, "Happy", IF(Table13[[#This Row],[valence]]&gt;=0.4, "Neutral", "Sad"))</f>
        <v>Sad</v>
      </c>
      <c r="T243" s="8" t="str">
        <f>IF(Table13[[#This Row],[energy]]&gt;=0.7, "High Energy", IF(Table13[[#This Row],[energy]]&gt;=0.4, "Medium Energy", "Low Energy"))</f>
        <v>Low Energy</v>
      </c>
      <c r="U243" s="17" t="str">
        <f>IF(Table13[[#This Row],[popularity]]&gt;70, "Popular", IF(Table13[[#This Row],[popularity]]&lt;40, "Less Popular", "Mid"))</f>
        <v>Mid</v>
      </c>
    </row>
    <row r="244" spans="2:21" x14ac:dyDescent="0.3">
      <c r="B244" s="8" t="s">
        <v>296</v>
      </c>
      <c r="C244" s="8" t="s">
        <v>325</v>
      </c>
      <c r="D244" s="9">
        <v>44176</v>
      </c>
      <c r="E244" s="8">
        <v>1</v>
      </c>
      <c r="F244" s="8">
        <v>0.57847222222222217</v>
      </c>
      <c r="G244" s="8">
        <v>0.2722222222222222</v>
      </c>
      <c r="H244" s="8">
        <v>0.39861111111111108</v>
      </c>
      <c r="I244" s="8" t="s">
        <v>298</v>
      </c>
      <c r="J244" s="8">
        <v>0.10069444444444443</v>
      </c>
      <c r="K244" s="10">
        <v>-9195</v>
      </c>
      <c r="L244" s="11">
        <v>1.1805555555555555E-2</v>
      </c>
      <c r="M244" s="10">
        <v>81112</v>
      </c>
      <c r="N244" s="8">
        <v>0.36736111111111108</v>
      </c>
      <c r="O244" s="8">
        <v>77</v>
      </c>
      <c r="P244" s="8">
        <v>214706</v>
      </c>
      <c r="Q244" s="8">
        <f>YEAR(Table13[[#This Row],[release_date]])</f>
        <v>2020</v>
      </c>
      <c r="R244" s="8">
        <f>ROUND(Table13[[#This Row],[duration_ms]]/60000,2)</f>
        <v>3.58</v>
      </c>
      <c r="S244" s="8" t="str">
        <f>IF(Table13[[#This Row],[valence]]&gt;=0.6, "Happy", IF(Table13[[#This Row],[valence]]&gt;=0.4, "Neutral", "Sad"))</f>
        <v>Sad</v>
      </c>
      <c r="T244" s="8" t="str">
        <f>IF(Table13[[#This Row],[energy]]&gt;=0.7, "High Energy", IF(Table13[[#This Row],[energy]]&gt;=0.4, "Medium Energy", "Low Energy"))</f>
        <v>Low Energy</v>
      </c>
      <c r="U244" s="17" t="str">
        <f>IF(Table13[[#This Row],[popularity]]&gt;70, "Popular", IF(Table13[[#This Row],[popularity]]&lt;40, "Less Popular", "Mid"))</f>
        <v>Popular</v>
      </c>
    </row>
    <row r="245" spans="2:21" x14ac:dyDescent="0.3">
      <c r="B245" s="8" t="s">
        <v>299</v>
      </c>
      <c r="C245" s="8" t="s">
        <v>325</v>
      </c>
      <c r="D245" s="9">
        <v>44176</v>
      </c>
      <c r="E245" s="8">
        <v>2</v>
      </c>
      <c r="F245" s="8">
        <v>6.3888888888888898E-2</v>
      </c>
      <c r="G245" s="8">
        <v>0.32083333333333336</v>
      </c>
      <c r="H245" s="11">
        <v>1.6666666666666666E-2</v>
      </c>
      <c r="I245" s="11">
        <v>0</v>
      </c>
      <c r="J245" s="8">
        <v>7.8472222222222221E-2</v>
      </c>
      <c r="K245" s="10">
        <v>-12077</v>
      </c>
      <c r="L245" s="8">
        <v>0.26180555555555557</v>
      </c>
      <c r="M245" s="10">
        <v>171319</v>
      </c>
      <c r="N245" s="11">
        <v>2.2222222222222223E-2</v>
      </c>
      <c r="O245" s="8">
        <v>77</v>
      </c>
      <c r="P245" s="8">
        <v>244000</v>
      </c>
      <c r="Q245" s="8">
        <f>YEAR(Table13[[#This Row],[release_date]])</f>
        <v>2020</v>
      </c>
      <c r="R245" s="8">
        <f>ROUND(Table13[[#This Row],[duration_ms]]/60000,2)</f>
        <v>4.07</v>
      </c>
      <c r="S245" s="8" t="str">
        <f>IF(Table13[[#This Row],[valence]]&gt;=0.6, "Happy", IF(Table13[[#This Row],[valence]]&gt;=0.4, "Neutral", "Sad"))</f>
        <v>Sad</v>
      </c>
      <c r="T245" s="8" t="str">
        <f>IF(Table13[[#This Row],[energy]]&gt;=0.7, "High Energy", IF(Table13[[#This Row],[energy]]&gt;=0.4, "Medium Energy", "Low Energy"))</f>
        <v>Low Energy</v>
      </c>
      <c r="U245" s="17" t="str">
        <f>IF(Table13[[#This Row],[popularity]]&gt;70, "Popular", IF(Table13[[#This Row],[popularity]]&lt;40, "Less Popular", "Mid"))</f>
        <v>Popular</v>
      </c>
    </row>
    <row r="246" spans="2:21" x14ac:dyDescent="0.3">
      <c r="B246" s="8" t="s">
        <v>300</v>
      </c>
      <c r="C246" s="8" t="s">
        <v>325</v>
      </c>
      <c r="D246" s="9">
        <v>44176</v>
      </c>
      <c r="E246" s="8">
        <v>3</v>
      </c>
      <c r="F246" s="8">
        <v>5.7638888888888885E-2</v>
      </c>
      <c r="G246" s="8">
        <v>0.35555555555555557</v>
      </c>
      <c r="H246" s="8">
        <v>0.32083333333333336</v>
      </c>
      <c r="I246" s="8">
        <v>0.11527777777777777</v>
      </c>
      <c r="J246" s="8">
        <v>8.4027777777777771E-2</v>
      </c>
      <c r="K246" s="10">
        <v>-10491</v>
      </c>
      <c r="L246" s="8">
        <v>0.28333333333333333</v>
      </c>
      <c r="M246" s="14">
        <v>4.6701388888888884</v>
      </c>
      <c r="N246" s="8">
        <v>0.24513888888888891</v>
      </c>
      <c r="O246" s="8">
        <v>67</v>
      </c>
      <c r="P246" s="8">
        <v>185320</v>
      </c>
      <c r="Q246" s="8">
        <f>YEAR(Table13[[#This Row],[release_date]])</f>
        <v>2020</v>
      </c>
      <c r="R246" s="8">
        <f>ROUND(Table13[[#This Row],[duration_ms]]/60000,2)</f>
        <v>3.09</v>
      </c>
      <c r="S246" s="8" t="str">
        <f>IF(Table13[[#This Row],[valence]]&gt;=0.6, "Happy", IF(Table13[[#This Row],[valence]]&gt;=0.4, "Neutral", "Sad"))</f>
        <v>Sad</v>
      </c>
      <c r="T246" s="8" t="str">
        <f>IF(Table13[[#This Row],[energy]]&gt;=0.7, "High Energy", IF(Table13[[#This Row],[energy]]&gt;=0.4, "Medium Energy", "Low Energy"))</f>
        <v>Low Energy</v>
      </c>
      <c r="U246" s="17" t="str">
        <f>IF(Table13[[#This Row],[popularity]]&gt;70, "Popular", IF(Table13[[#This Row],[popularity]]&lt;40, "Less Popular", "Mid"))</f>
        <v>Mid</v>
      </c>
    </row>
    <row r="247" spans="2:21" x14ac:dyDescent="0.3">
      <c r="B247" s="8" t="s">
        <v>301</v>
      </c>
      <c r="C247" s="8" t="s">
        <v>325</v>
      </c>
      <c r="D247" s="9">
        <v>44176</v>
      </c>
      <c r="E247" s="8">
        <v>4</v>
      </c>
      <c r="F247" s="8">
        <v>0.51041666666666663</v>
      </c>
      <c r="G247" s="8">
        <v>0.39930555555555558</v>
      </c>
      <c r="H247" s="8">
        <v>0.30138888888888887</v>
      </c>
      <c r="I247" s="8" t="s">
        <v>302</v>
      </c>
      <c r="J247" s="8">
        <v>7.2916666666666671E-2</v>
      </c>
      <c r="K247" s="10">
        <v>-8193</v>
      </c>
      <c r="L247" s="8">
        <v>0.21666666666666667</v>
      </c>
      <c r="M247" s="10">
        <v>145916</v>
      </c>
      <c r="N247" s="8">
        <v>0.24166666666666667</v>
      </c>
      <c r="O247" s="8">
        <v>65</v>
      </c>
      <c r="P247" s="8">
        <v>229840</v>
      </c>
      <c r="Q247" s="8">
        <f>YEAR(Table13[[#This Row],[release_date]])</f>
        <v>2020</v>
      </c>
      <c r="R247" s="8">
        <f>ROUND(Table13[[#This Row],[duration_ms]]/60000,2)</f>
        <v>3.83</v>
      </c>
      <c r="S247" s="8" t="str">
        <f>IF(Table13[[#This Row],[valence]]&gt;=0.6, "Happy", IF(Table13[[#This Row],[valence]]&gt;=0.4, "Neutral", "Sad"))</f>
        <v>Sad</v>
      </c>
      <c r="T247" s="8" t="str">
        <f>IF(Table13[[#This Row],[energy]]&gt;=0.7, "High Energy", IF(Table13[[#This Row],[energy]]&gt;=0.4, "Medium Energy", "Low Energy"))</f>
        <v>Low Energy</v>
      </c>
      <c r="U247" s="17" t="str">
        <f>IF(Table13[[#This Row],[popularity]]&gt;70, "Popular", IF(Table13[[#This Row],[popularity]]&lt;40, "Less Popular", "Mid"))</f>
        <v>Mid</v>
      </c>
    </row>
    <row r="248" spans="2:21" x14ac:dyDescent="0.3">
      <c r="B248" s="8" t="s">
        <v>303</v>
      </c>
      <c r="C248" s="8" t="s">
        <v>325</v>
      </c>
      <c r="D248" s="9">
        <v>44176</v>
      </c>
      <c r="E248" s="8">
        <v>5</v>
      </c>
      <c r="F248" s="8">
        <v>0.60972222222222217</v>
      </c>
      <c r="G248" s="8">
        <v>0.21944444444444444</v>
      </c>
      <c r="H248" s="8">
        <v>0.25069444444444444</v>
      </c>
      <c r="I248" s="8" t="s">
        <v>304</v>
      </c>
      <c r="J248" s="8">
        <v>0.55347222222222225</v>
      </c>
      <c r="K248" s="10">
        <v>-10381</v>
      </c>
      <c r="L248" s="8">
        <v>0.33888888888888885</v>
      </c>
      <c r="M248" s="10">
        <v>74952</v>
      </c>
      <c r="N248" s="8">
        <v>0.1534722222222222</v>
      </c>
      <c r="O248" s="8">
        <v>72</v>
      </c>
      <c r="P248" s="8">
        <v>245440</v>
      </c>
      <c r="Q248" s="8">
        <f>YEAR(Table13[[#This Row],[release_date]])</f>
        <v>2020</v>
      </c>
      <c r="R248" s="8">
        <f>ROUND(Table13[[#This Row],[duration_ms]]/60000,2)</f>
        <v>4.09</v>
      </c>
      <c r="S248" s="8" t="str">
        <f>IF(Table13[[#This Row],[valence]]&gt;=0.6, "Happy", IF(Table13[[#This Row],[valence]]&gt;=0.4, "Neutral", "Sad"))</f>
        <v>Sad</v>
      </c>
      <c r="T248" s="8" t="str">
        <f>IF(Table13[[#This Row],[energy]]&gt;=0.7, "High Energy", IF(Table13[[#This Row],[energy]]&gt;=0.4, "Medium Energy", "Low Energy"))</f>
        <v>Low Energy</v>
      </c>
      <c r="U248" s="17" t="str">
        <f>IF(Table13[[#This Row],[popularity]]&gt;70, "Popular", IF(Table13[[#This Row],[popularity]]&lt;40, "Less Popular", "Mid"))</f>
        <v>Popular</v>
      </c>
    </row>
    <row r="249" spans="2:21" x14ac:dyDescent="0.3">
      <c r="B249" s="8" t="s">
        <v>305</v>
      </c>
      <c r="C249" s="8" t="s">
        <v>325</v>
      </c>
      <c r="D249" s="9">
        <v>44176</v>
      </c>
      <c r="E249" s="8">
        <v>6</v>
      </c>
      <c r="F249" s="8">
        <v>0.2902777777777778</v>
      </c>
      <c r="G249" s="8">
        <v>0.37916666666666665</v>
      </c>
      <c r="H249" s="8">
        <v>0.42569444444444443</v>
      </c>
      <c r="I249" s="11">
        <v>0</v>
      </c>
      <c r="J249" s="8">
        <v>7.1527777777777773E-2</v>
      </c>
      <c r="K249" s="10">
        <v>-7589</v>
      </c>
      <c r="L249" s="8">
        <v>0.18333333333333335</v>
      </c>
      <c r="M249" s="10">
        <v>79015</v>
      </c>
      <c r="N249" s="8">
        <v>0.37152777777777773</v>
      </c>
      <c r="O249" s="8">
        <v>66</v>
      </c>
      <c r="P249" s="8">
        <v>215626</v>
      </c>
      <c r="Q249" s="8">
        <f>YEAR(Table13[[#This Row],[release_date]])</f>
        <v>2020</v>
      </c>
      <c r="R249" s="8">
        <f>ROUND(Table13[[#This Row],[duration_ms]]/60000,2)</f>
        <v>3.59</v>
      </c>
      <c r="S249" s="8" t="str">
        <f>IF(Table13[[#This Row],[valence]]&gt;=0.6, "Happy", IF(Table13[[#This Row],[valence]]&gt;=0.4, "Neutral", "Sad"))</f>
        <v>Sad</v>
      </c>
      <c r="T249" s="8" t="str">
        <f>IF(Table13[[#This Row],[energy]]&gt;=0.7, "High Energy", IF(Table13[[#This Row],[energy]]&gt;=0.4, "Medium Energy", "Low Energy"))</f>
        <v>Medium Energy</v>
      </c>
      <c r="U249" s="17" t="str">
        <f>IF(Table13[[#This Row],[popularity]]&gt;70, "Popular", IF(Table13[[#This Row],[popularity]]&lt;40, "Less Popular", "Mid"))</f>
        <v>Mid</v>
      </c>
    </row>
    <row r="250" spans="2:21" x14ac:dyDescent="0.3">
      <c r="B250" s="8" t="s">
        <v>306</v>
      </c>
      <c r="C250" s="8" t="s">
        <v>325</v>
      </c>
      <c r="D250" s="9">
        <v>44176</v>
      </c>
      <c r="E250" s="8">
        <v>7</v>
      </c>
      <c r="F250" s="8">
        <v>6.0416666666666667E-2</v>
      </c>
      <c r="G250" s="8">
        <v>0.38819444444444445</v>
      </c>
      <c r="H250" s="8">
        <v>0.23194444444444443</v>
      </c>
      <c r="I250" s="11">
        <v>0</v>
      </c>
      <c r="J250" s="8">
        <v>7.9166666666666663E-2</v>
      </c>
      <c r="K250" s="10">
        <v>-10733</v>
      </c>
      <c r="L250" s="8">
        <v>0.26111111111111113</v>
      </c>
      <c r="M250" s="10">
        <v>122079</v>
      </c>
      <c r="N250" s="8">
        <v>0.14652777777777778</v>
      </c>
      <c r="O250" s="8">
        <v>64</v>
      </c>
      <c r="P250" s="8">
        <v>315146</v>
      </c>
      <c r="Q250" s="8">
        <f>YEAR(Table13[[#This Row],[release_date]])</f>
        <v>2020</v>
      </c>
      <c r="R250" s="8">
        <f>ROUND(Table13[[#This Row],[duration_ms]]/60000,2)</f>
        <v>5.25</v>
      </c>
      <c r="S250" s="8" t="str">
        <f>IF(Table13[[#This Row],[valence]]&gt;=0.6, "Happy", IF(Table13[[#This Row],[valence]]&gt;=0.4, "Neutral", "Sad"))</f>
        <v>Sad</v>
      </c>
      <c r="T250" s="8" t="str">
        <f>IF(Table13[[#This Row],[energy]]&gt;=0.7, "High Energy", IF(Table13[[#This Row],[energy]]&gt;=0.4, "Medium Energy", "Low Energy"))</f>
        <v>Low Energy</v>
      </c>
      <c r="U250" s="17" t="str">
        <f>IF(Table13[[#This Row],[popularity]]&gt;70, "Popular", IF(Table13[[#This Row],[popularity]]&lt;40, "Less Popular", "Mid"))</f>
        <v>Mid</v>
      </c>
    </row>
    <row r="251" spans="2:21" x14ac:dyDescent="0.3">
      <c r="B251" s="8" t="s">
        <v>307</v>
      </c>
      <c r="C251" s="8" t="s">
        <v>325</v>
      </c>
      <c r="D251" s="9">
        <v>44176</v>
      </c>
      <c r="E251" s="8">
        <v>8</v>
      </c>
      <c r="F251" s="8">
        <v>0.48333333333333334</v>
      </c>
      <c r="G251" s="8">
        <v>0.4201388888888889</v>
      </c>
      <c r="H251" s="8">
        <v>0.33888888888888885</v>
      </c>
      <c r="I251" s="11">
        <v>0</v>
      </c>
      <c r="J251" s="8">
        <v>8.9583333333333334E-2</v>
      </c>
      <c r="K251" s="10">
        <v>-8322</v>
      </c>
      <c r="L251" s="8">
        <v>0.18333333333333335</v>
      </c>
      <c r="M251" s="10">
        <v>119966</v>
      </c>
      <c r="N251" s="8">
        <v>0.24583333333333335</v>
      </c>
      <c r="O251" s="8">
        <v>62</v>
      </c>
      <c r="P251" s="8">
        <v>225880</v>
      </c>
      <c r="Q251" s="8">
        <f>YEAR(Table13[[#This Row],[release_date]])</f>
        <v>2020</v>
      </c>
      <c r="R251" s="8">
        <f>ROUND(Table13[[#This Row],[duration_ms]]/60000,2)</f>
        <v>3.76</v>
      </c>
      <c r="S251" s="8" t="str">
        <f>IF(Table13[[#This Row],[valence]]&gt;=0.6, "Happy", IF(Table13[[#This Row],[valence]]&gt;=0.4, "Neutral", "Sad"))</f>
        <v>Sad</v>
      </c>
      <c r="T251" s="8" t="str">
        <f>IF(Table13[[#This Row],[energy]]&gt;=0.7, "High Energy", IF(Table13[[#This Row],[energy]]&gt;=0.4, "Medium Energy", "Low Energy"))</f>
        <v>Low Energy</v>
      </c>
      <c r="U251" s="17" t="str">
        <f>IF(Table13[[#This Row],[popularity]]&gt;70, "Popular", IF(Table13[[#This Row],[popularity]]&lt;40, "Less Popular", "Mid"))</f>
        <v>Mid</v>
      </c>
    </row>
    <row r="252" spans="2:21" x14ac:dyDescent="0.3">
      <c r="B252" s="8" t="s">
        <v>308</v>
      </c>
      <c r="C252" s="8" t="s">
        <v>325</v>
      </c>
      <c r="D252" s="9">
        <v>44176</v>
      </c>
      <c r="E252" s="8">
        <v>9</v>
      </c>
      <c r="F252" s="8">
        <v>0.56874999999999998</v>
      </c>
      <c r="G252" s="8">
        <v>0.37291666666666662</v>
      </c>
      <c r="H252" s="8">
        <v>0.37291666666666662</v>
      </c>
      <c r="I252" s="8" t="s">
        <v>309</v>
      </c>
      <c r="J252" s="8">
        <v>9.8611111111111108E-2</v>
      </c>
      <c r="K252" s="10">
        <v>-11266</v>
      </c>
      <c r="L252" s="8">
        <v>0.4284722222222222</v>
      </c>
      <c r="M252" s="10">
        <v>107895</v>
      </c>
      <c r="N252" s="8">
        <v>0.20277777777777775</v>
      </c>
      <c r="O252" s="8">
        <v>61</v>
      </c>
      <c r="P252" s="8">
        <v>275320</v>
      </c>
      <c r="Q252" s="8">
        <f>YEAR(Table13[[#This Row],[release_date]])</f>
        <v>2020</v>
      </c>
      <c r="R252" s="8">
        <f>ROUND(Table13[[#This Row],[duration_ms]]/60000,2)</f>
        <v>4.59</v>
      </c>
      <c r="S252" s="8" t="str">
        <f>IF(Table13[[#This Row],[valence]]&gt;=0.6, "Happy", IF(Table13[[#This Row],[valence]]&gt;=0.4, "Neutral", "Sad"))</f>
        <v>Sad</v>
      </c>
      <c r="T252" s="8" t="str">
        <f>IF(Table13[[#This Row],[energy]]&gt;=0.7, "High Energy", IF(Table13[[#This Row],[energy]]&gt;=0.4, "Medium Energy", "Low Energy"))</f>
        <v>Low Energy</v>
      </c>
      <c r="U252" s="17" t="str">
        <f>IF(Table13[[#This Row],[popularity]]&gt;70, "Popular", IF(Table13[[#This Row],[popularity]]&lt;40, "Less Popular", "Mid"))</f>
        <v>Mid</v>
      </c>
    </row>
    <row r="253" spans="2:21" x14ac:dyDescent="0.3">
      <c r="B253" s="8" t="s">
        <v>310</v>
      </c>
      <c r="C253" s="8" t="s">
        <v>325</v>
      </c>
      <c r="D253" s="9">
        <v>44176</v>
      </c>
      <c r="E253" s="8">
        <v>10</v>
      </c>
      <c r="F253" s="8">
        <v>0.59375</v>
      </c>
      <c r="G253" s="8">
        <v>0.3576388888888889</v>
      </c>
      <c r="H253" s="8">
        <v>0.37847222222222227</v>
      </c>
      <c r="I253" s="8" t="s">
        <v>311</v>
      </c>
      <c r="J253" s="8">
        <v>0.63958333333333328</v>
      </c>
      <c r="K253" s="10">
        <v>-9277</v>
      </c>
      <c r="L253" s="8">
        <v>0.24513888888888891</v>
      </c>
      <c r="M253" s="10">
        <v>88856</v>
      </c>
      <c r="N253" s="8">
        <v>0.37152777777777773</v>
      </c>
      <c r="O253" s="8">
        <v>66</v>
      </c>
      <c r="P253" s="8">
        <v>260440</v>
      </c>
      <c r="Q253" s="8">
        <f>YEAR(Table13[[#This Row],[release_date]])</f>
        <v>2020</v>
      </c>
      <c r="R253" s="8">
        <f>ROUND(Table13[[#This Row],[duration_ms]]/60000,2)</f>
        <v>4.34</v>
      </c>
      <c r="S253" s="8" t="str">
        <f>IF(Table13[[#This Row],[valence]]&gt;=0.6, "Happy", IF(Table13[[#This Row],[valence]]&gt;=0.4, "Neutral", "Sad"))</f>
        <v>Sad</v>
      </c>
      <c r="T253" s="8" t="str">
        <f>IF(Table13[[#This Row],[energy]]&gt;=0.7, "High Energy", IF(Table13[[#This Row],[energy]]&gt;=0.4, "Medium Energy", "Low Energy"))</f>
        <v>Low Energy</v>
      </c>
      <c r="U253" s="17" t="str">
        <f>IF(Table13[[#This Row],[popularity]]&gt;70, "Popular", IF(Table13[[#This Row],[popularity]]&lt;40, "Less Popular", "Mid"))</f>
        <v>Mid</v>
      </c>
    </row>
    <row r="254" spans="2:21" x14ac:dyDescent="0.3">
      <c r="B254" s="8" t="s">
        <v>312</v>
      </c>
      <c r="C254" s="8" t="s">
        <v>325</v>
      </c>
      <c r="D254" s="9">
        <v>44176</v>
      </c>
      <c r="E254" s="8">
        <v>11</v>
      </c>
      <c r="F254" s="8">
        <v>0.53333333333333333</v>
      </c>
      <c r="G254" s="8">
        <v>0.41944444444444445</v>
      </c>
      <c r="H254" s="8">
        <v>0.35902777777777778</v>
      </c>
      <c r="I254" s="8" t="s">
        <v>313</v>
      </c>
      <c r="J254" s="8">
        <v>8.5416666666666655E-2</v>
      </c>
      <c r="K254" s="10">
        <v>-9014</v>
      </c>
      <c r="L254" s="8">
        <v>0.24097222222222223</v>
      </c>
      <c r="M254" s="10">
        <v>127967</v>
      </c>
      <c r="N254" s="8">
        <v>0.35486111111111113</v>
      </c>
      <c r="O254" s="8">
        <v>65</v>
      </c>
      <c r="P254" s="8">
        <v>275040</v>
      </c>
      <c r="Q254" s="8">
        <f>YEAR(Table13[[#This Row],[release_date]])</f>
        <v>2020</v>
      </c>
      <c r="R254" s="8">
        <f>ROUND(Table13[[#This Row],[duration_ms]]/60000,2)</f>
        <v>4.58</v>
      </c>
      <c r="S254" s="8" t="str">
        <f>IF(Table13[[#This Row],[valence]]&gt;=0.6, "Happy", IF(Table13[[#This Row],[valence]]&gt;=0.4, "Neutral", "Sad"))</f>
        <v>Sad</v>
      </c>
      <c r="T254" s="8" t="str">
        <f>IF(Table13[[#This Row],[energy]]&gt;=0.7, "High Energy", IF(Table13[[#This Row],[energy]]&gt;=0.4, "Medium Energy", "Low Energy"))</f>
        <v>Low Energy</v>
      </c>
      <c r="U254" s="17" t="str">
        <f>IF(Table13[[#This Row],[popularity]]&gt;70, "Popular", IF(Table13[[#This Row],[popularity]]&lt;40, "Less Popular", "Mid"))</f>
        <v>Mid</v>
      </c>
    </row>
    <row r="255" spans="2:21" x14ac:dyDescent="0.3">
      <c r="B255" s="8" t="s">
        <v>314</v>
      </c>
      <c r="C255" s="8" t="s">
        <v>325</v>
      </c>
      <c r="D255" s="9">
        <v>44176</v>
      </c>
      <c r="E255" s="8">
        <v>12</v>
      </c>
      <c r="F255" s="8">
        <v>4.5833333333333337E-2</v>
      </c>
      <c r="G255" s="8">
        <v>0.37916666666666665</v>
      </c>
      <c r="H255" s="8">
        <v>5.0694444444444438E-2</v>
      </c>
      <c r="I255" s="8">
        <v>0.12430555555555556</v>
      </c>
      <c r="J255" s="8">
        <v>0.67499999999999993</v>
      </c>
      <c r="K255" s="10">
        <v>-7704</v>
      </c>
      <c r="L255" s="8">
        <v>0.28958333333333336</v>
      </c>
      <c r="M255" s="10">
        <v>157895</v>
      </c>
      <c r="N255" s="8">
        <v>0.3979166666666667</v>
      </c>
      <c r="O255" s="8">
        <v>62</v>
      </c>
      <c r="P255" s="8">
        <v>215920</v>
      </c>
      <c r="Q255" s="8">
        <f>YEAR(Table13[[#This Row],[release_date]])</f>
        <v>2020</v>
      </c>
      <c r="R255" s="8">
        <f>ROUND(Table13[[#This Row],[duration_ms]]/60000,2)</f>
        <v>3.6</v>
      </c>
      <c r="S255" s="8" t="str">
        <f>IF(Table13[[#This Row],[valence]]&gt;=0.6, "Happy", IF(Table13[[#This Row],[valence]]&gt;=0.4, "Neutral", "Sad"))</f>
        <v>Sad</v>
      </c>
      <c r="T255" s="8" t="str">
        <f>IF(Table13[[#This Row],[energy]]&gt;=0.7, "High Energy", IF(Table13[[#This Row],[energy]]&gt;=0.4, "Medium Energy", "Low Energy"))</f>
        <v>Low Energy</v>
      </c>
      <c r="U255" s="17" t="str">
        <f>IF(Table13[[#This Row],[popularity]]&gt;70, "Popular", IF(Table13[[#This Row],[popularity]]&lt;40, "Less Popular", "Mid"))</f>
        <v>Mid</v>
      </c>
    </row>
    <row r="256" spans="2:21" x14ac:dyDescent="0.3">
      <c r="B256" s="8" t="s">
        <v>315</v>
      </c>
      <c r="C256" s="8" t="s">
        <v>325</v>
      </c>
      <c r="D256" s="9">
        <v>44176</v>
      </c>
      <c r="E256" s="8">
        <v>13</v>
      </c>
      <c r="F256" s="8">
        <v>0.60833333333333328</v>
      </c>
      <c r="G256" s="8">
        <v>0.37152777777777773</v>
      </c>
      <c r="H256" s="8">
        <v>0.38958333333333334</v>
      </c>
      <c r="I256" s="8" t="s">
        <v>316</v>
      </c>
      <c r="J256" s="8">
        <v>7.9861111111111119E-2</v>
      </c>
      <c r="K256" s="10">
        <v>-11609</v>
      </c>
      <c r="L256" s="8">
        <v>0.33611111111111108</v>
      </c>
      <c r="M256" s="10">
        <v>96103</v>
      </c>
      <c r="N256" s="8">
        <v>0.19930555555555554</v>
      </c>
      <c r="O256" s="8">
        <v>70</v>
      </c>
      <c r="P256" s="8">
        <v>257773</v>
      </c>
      <c r="Q256" s="8">
        <f>YEAR(Table13[[#This Row],[release_date]])</f>
        <v>2020</v>
      </c>
      <c r="R256" s="8">
        <f>ROUND(Table13[[#This Row],[duration_ms]]/60000,2)</f>
        <v>4.3</v>
      </c>
      <c r="S256" s="8" t="str">
        <f>IF(Table13[[#This Row],[valence]]&gt;=0.6, "Happy", IF(Table13[[#This Row],[valence]]&gt;=0.4, "Neutral", "Sad"))</f>
        <v>Sad</v>
      </c>
      <c r="T256" s="8" t="str">
        <f>IF(Table13[[#This Row],[energy]]&gt;=0.7, "High Energy", IF(Table13[[#This Row],[energy]]&gt;=0.4, "Medium Energy", "Low Energy"))</f>
        <v>Low Energy</v>
      </c>
      <c r="U256" s="17" t="str">
        <f>IF(Table13[[#This Row],[popularity]]&gt;70, "Popular", IF(Table13[[#This Row],[popularity]]&lt;40, "Less Popular", "Mid"))</f>
        <v>Mid</v>
      </c>
    </row>
    <row r="257" spans="2:21" x14ac:dyDescent="0.3">
      <c r="B257" s="8" t="s">
        <v>317</v>
      </c>
      <c r="C257" s="8" t="s">
        <v>325</v>
      </c>
      <c r="D257" s="9">
        <v>44176</v>
      </c>
      <c r="E257" s="8">
        <v>14</v>
      </c>
      <c r="F257" s="8">
        <v>0.57986111111111105</v>
      </c>
      <c r="G257" s="8">
        <v>0.47847222222222219</v>
      </c>
      <c r="H257" s="8">
        <v>0.48888888888888887</v>
      </c>
      <c r="I257" s="8" t="s">
        <v>318</v>
      </c>
      <c r="J257" s="8">
        <v>9.3055555555555558E-2</v>
      </c>
      <c r="K257" s="10">
        <v>-10813</v>
      </c>
      <c r="L257" s="8">
        <v>0.17013888888888887</v>
      </c>
      <c r="M257" s="10">
        <v>151884</v>
      </c>
      <c r="N257" s="8">
        <v>6.3888888888888898E-2</v>
      </c>
      <c r="O257" s="8">
        <v>59</v>
      </c>
      <c r="P257" s="8">
        <v>180653</v>
      </c>
      <c r="Q257" s="8">
        <f>YEAR(Table13[[#This Row],[release_date]])</f>
        <v>2020</v>
      </c>
      <c r="R257" s="8">
        <f>ROUND(Table13[[#This Row],[duration_ms]]/60000,2)</f>
        <v>3.01</v>
      </c>
      <c r="S257" s="8" t="str">
        <f>IF(Table13[[#This Row],[valence]]&gt;=0.6, "Happy", IF(Table13[[#This Row],[valence]]&gt;=0.4, "Neutral", "Sad"))</f>
        <v>Sad</v>
      </c>
      <c r="T257" s="8" t="str">
        <f>IF(Table13[[#This Row],[energy]]&gt;=0.7, "High Energy", IF(Table13[[#This Row],[energy]]&gt;=0.4, "Medium Energy", "Low Energy"))</f>
        <v>Medium Energy</v>
      </c>
      <c r="U257" s="17" t="str">
        <f>IF(Table13[[#This Row],[popularity]]&gt;70, "Popular", IF(Table13[[#This Row],[popularity]]&lt;40, "Less Popular", "Mid"))</f>
        <v>Mid</v>
      </c>
    </row>
    <row r="258" spans="2:21" x14ac:dyDescent="0.3">
      <c r="B258" s="8" t="s">
        <v>319</v>
      </c>
      <c r="C258" s="8" t="s">
        <v>325</v>
      </c>
      <c r="D258" s="9">
        <v>44176</v>
      </c>
      <c r="E258" s="8">
        <v>15</v>
      </c>
      <c r="F258" s="8">
        <v>0.65069444444444446</v>
      </c>
      <c r="G258" s="11">
        <v>2.7083333333333334E-2</v>
      </c>
      <c r="H258" s="11">
        <v>1.8749999999999999E-2</v>
      </c>
      <c r="I258" s="8" t="s">
        <v>320</v>
      </c>
      <c r="J258" s="8">
        <v>7.7083333333333337E-2</v>
      </c>
      <c r="K258" s="10">
        <v>-10673</v>
      </c>
      <c r="L258" s="8">
        <v>0.21388888888888891</v>
      </c>
      <c r="M258" s="10">
        <v>125177</v>
      </c>
      <c r="N258" s="11">
        <v>2.2222222222222223E-2</v>
      </c>
      <c r="O258" s="8">
        <v>63</v>
      </c>
      <c r="P258" s="8">
        <v>304106</v>
      </c>
      <c r="Q258" s="8">
        <f>YEAR(Table13[[#This Row],[release_date]])</f>
        <v>2020</v>
      </c>
      <c r="R258" s="8">
        <f>ROUND(Table13[[#This Row],[duration_ms]]/60000,2)</f>
        <v>5.07</v>
      </c>
      <c r="S258" s="8" t="str">
        <f>IF(Table13[[#This Row],[valence]]&gt;=0.6, "Happy", IF(Table13[[#This Row],[valence]]&gt;=0.4, "Neutral", "Sad"))</f>
        <v>Sad</v>
      </c>
      <c r="T258" s="8" t="str">
        <f>IF(Table13[[#This Row],[energy]]&gt;=0.7, "High Energy", IF(Table13[[#This Row],[energy]]&gt;=0.4, "Medium Energy", "Low Energy"))</f>
        <v>Low Energy</v>
      </c>
      <c r="U258" s="17" t="str">
        <f>IF(Table13[[#This Row],[popularity]]&gt;70, "Popular", IF(Table13[[#This Row],[popularity]]&lt;40, "Less Popular", "Mid"))</f>
        <v>Mid</v>
      </c>
    </row>
    <row r="259" spans="2:21" x14ac:dyDescent="0.3">
      <c r="B259" s="8" t="s">
        <v>326</v>
      </c>
      <c r="C259" s="8" t="s">
        <v>327</v>
      </c>
      <c r="D259" s="9">
        <v>44160</v>
      </c>
      <c r="E259" s="8">
        <v>1</v>
      </c>
      <c r="F259" s="8">
        <v>5.2083333333333336E-2</v>
      </c>
      <c r="G259" s="8">
        <v>5.4166666666666669E-2</v>
      </c>
      <c r="H259" s="8">
        <v>0.25069444444444444</v>
      </c>
      <c r="I259" s="8" t="s">
        <v>328</v>
      </c>
      <c r="J259" s="8">
        <v>7.4999999999999997E-2</v>
      </c>
      <c r="K259" s="10">
        <v>-6942</v>
      </c>
      <c r="L259" s="8" t="s">
        <v>29</v>
      </c>
      <c r="M259" s="10">
        <v>139902</v>
      </c>
      <c r="N259" s="8">
        <v>0.11319444444444444</v>
      </c>
      <c r="O259" s="8">
        <v>48</v>
      </c>
      <c r="P259" s="8">
        <v>210240</v>
      </c>
      <c r="Q259" s="8">
        <f>YEAR(Table13[[#This Row],[release_date]])</f>
        <v>2020</v>
      </c>
      <c r="R259" s="8">
        <f>ROUND(Table13[[#This Row],[duration_ms]]/60000,2)</f>
        <v>3.5</v>
      </c>
      <c r="S259" s="8" t="str">
        <f>IF(Table13[[#This Row],[valence]]&gt;=0.6, "Happy", IF(Table13[[#This Row],[valence]]&gt;=0.4, "Neutral", "Sad"))</f>
        <v>Sad</v>
      </c>
      <c r="T259" s="8" t="str">
        <f>IF(Table13[[#This Row],[energy]]&gt;=0.7, "High Energy", IF(Table13[[#This Row],[energy]]&gt;=0.4, "Medium Energy", "Low Energy"))</f>
        <v>Low Energy</v>
      </c>
      <c r="U259" s="17" t="str">
        <f>IF(Table13[[#This Row],[popularity]]&gt;70, "Popular", IF(Table13[[#This Row],[popularity]]&lt;40, "Less Popular", "Mid"))</f>
        <v>Mid</v>
      </c>
    </row>
    <row r="260" spans="2:21" x14ac:dyDescent="0.3">
      <c r="B260" s="8" t="s">
        <v>329</v>
      </c>
      <c r="C260" s="8" t="s">
        <v>327</v>
      </c>
      <c r="D260" s="9">
        <v>44160</v>
      </c>
      <c r="E260" s="8">
        <v>2</v>
      </c>
      <c r="F260" s="8">
        <v>0.36458333333333331</v>
      </c>
      <c r="G260" s="8">
        <v>0.42499999999999999</v>
      </c>
      <c r="H260" s="11">
        <v>4.027777777777778E-2</v>
      </c>
      <c r="I260" s="8" t="s">
        <v>330</v>
      </c>
      <c r="J260" s="11">
        <v>1.8055555555555557E-2</v>
      </c>
      <c r="K260" s="10">
        <v>-8572</v>
      </c>
      <c r="L260" s="8">
        <v>0.29097222222222224</v>
      </c>
      <c r="M260" s="10">
        <v>130045</v>
      </c>
      <c r="N260" s="8">
        <v>0.37083333333333335</v>
      </c>
      <c r="O260" s="8">
        <v>49</v>
      </c>
      <c r="P260" s="8">
        <v>239560</v>
      </c>
      <c r="Q260" s="8">
        <f>YEAR(Table13[[#This Row],[release_date]])</f>
        <v>2020</v>
      </c>
      <c r="R260" s="8">
        <f>ROUND(Table13[[#This Row],[duration_ms]]/60000,2)</f>
        <v>3.99</v>
      </c>
      <c r="S260" s="8" t="str">
        <f>IF(Table13[[#This Row],[valence]]&gt;=0.6, "Happy", IF(Table13[[#This Row],[valence]]&gt;=0.4, "Neutral", "Sad"))</f>
        <v>Sad</v>
      </c>
      <c r="T260" s="8" t="str">
        <f>IF(Table13[[#This Row],[energy]]&gt;=0.7, "High Energy", IF(Table13[[#This Row],[energy]]&gt;=0.4, "Medium Energy", "Low Energy"))</f>
        <v>Low Energy</v>
      </c>
      <c r="U260" s="17" t="str">
        <f>IF(Table13[[#This Row],[popularity]]&gt;70, "Popular", IF(Table13[[#This Row],[popularity]]&lt;40, "Less Popular", "Mid"))</f>
        <v>Mid</v>
      </c>
    </row>
    <row r="261" spans="2:21" x14ac:dyDescent="0.3">
      <c r="B261" s="8" t="s">
        <v>331</v>
      </c>
      <c r="C261" s="8" t="s">
        <v>327</v>
      </c>
      <c r="D261" s="9">
        <v>44160</v>
      </c>
      <c r="E261" s="8">
        <v>3</v>
      </c>
      <c r="F261" s="8">
        <v>0.33402777777777781</v>
      </c>
      <c r="G261" s="8">
        <v>0.4777777777777778</v>
      </c>
      <c r="H261" s="8">
        <v>0.45347222222222222</v>
      </c>
      <c r="I261" s="8" t="s">
        <v>332</v>
      </c>
      <c r="J261" s="8">
        <v>7.3611111111111113E-2</v>
      </c>
      <c r="K261" s="10">
        <v>-8558</v>
      </c>
      <c r="L261" s="8">
        <v>0.27986111111111112</v>
      </c>
      <c r="M261" s="10">
        <v>147991</v>
      </c>
      <c r="N261" s="8">
        <v>0.48680555555555555</v>
      </c>
      <c r="O261" s="8">
        <v>47</v>
      </c>
      <c r="P261" s="8">
        <v>231000</v>
      </c>
      <c r="Q261" s="8">
        <f>YEAR(Table13[[#This Row],[release_date]])</f>
        <v>2020</v>
      </c>
      <c r="R261" s="8">
        <f>ROUND(Table13[[#This Row],[duration_ms]]/60000,2)</f>
        <v>3.85</v>
      </c>
      <c r="S261" s="8" t="str">
        <f>IF(Table13[[#This Row],[valence]]&gt;=0.6, "Happy", IF(Table13[[#This Row],[valence]]&gt;=0.4, "Neutral", "Sad"))</f>
        <v>Neutral</v>
      </c>
      <c r="T261" s="8" t="str">
        <f>IF(Table13[[#This Row],[energy]]&gt;=0.7, "High Energy", IF(Table13[[#This Row],[energy]]&gt;=0.4, "Medium Energy", "Low Energy"))</f>
        <v>Medium Energy</v>
      </c>
      <c r="U261" s="17" t="str">
        <f>IF(Table13[[#This Row],[popularity]]&gt;70, "Popular", IF(Table13[[#This Row],[popularity]]&lt;40, "Less Popular", "Mid"))</f>
        <v>Mid</v>
      </c>
    </row>
    <row r="262" spans="2:21" x14ac:dyDescent="0.3">
      <c r="B262" s="8" t="s">
        <v>333</v>
      </c>
      <c r="C262" s="8" t="s">
        <v>327</v>
      </c>
      <c r="D262" s="9">
        <v>44160</v>
      </c>
      <c r="E262" s="8">
        <v>4</v>
      </c>
      <c r="F262" s="8">
        <v>0.52847222222222223</v>
      </c>
      <c r="G262" s="11">
        <v>2.1527777777777781E-2</v>
      </c>
      <c r="H262" s="8">
        <v>0.25972222222222224</v>
      </c>
      <c r="I262" s="8" t="s">
        <v>334</v>
      </c>
      <c r="J262" s="11">
        <v>7.6388888888888886E-3</v>
      </c>
      <c r="K262" s="10">
        <v>-8464</v>
      </c>
      <c r="L262" s="8">
        <v>0.19097222222222221</v>
      </c>
      <c r="M262" s="10">
        <v>75938</v>
      </c>
      <c r="N262" s="11">
        <v>1.1111111111111112E-2</v>
      </c>
      <c r="O262" s="8">
        <v>48</v>
      </c>
      <c r="P262" s="8">
        <v>285640</v>
      </c>
      <c r="Q262" s="8">
        <f>YEAR(Table13[[#This Row],[release_date]])</f>
        <v>2020</v>
      </c>
      <c r="R262" s="8">
        <f>ROUND(Table13[[#This Row],[duration_ms]]/60000,2)</f>
        <v>4.76</v>
      </c>
      <c r="S262" s="8" t="str">
        <f>IF(Table13[[#This Row],[valence]]&gt;=0.6, "Happy", IF(Table13[[#This Row],[valence]]&gt;=0.4, "Neutral", "Sad"))</f>
        <v>Sad</v>
      </c>
      <c r="T262" s="8" t="str">
        <f>IF(Table13[[#This Row],[energy]]&gt;=0.7, "High Energy", IF(Table13[[#This Row],[energy]]&gt;=0.4, "Medium Energy", "Low Energy"))</f>
        <v>Low Energy</v>
      </c>
      <c r="U262" s="17" t="str">
        <f>IF(Table13[[#This Row],[popularity]]&gt;70, "Popular", IF(Table13[[#This Row],[popularity]]&lt;40, "Less Popular", "Mid"))</f>
        <v>Mid</v>
      </c>
    </row>
    <row r="263" spans="2:21" x14ac:dyDescent="0.3">
      <c r="B263" s="8" t="s">
        <v>335</v>
      </c>
      <c r="C263" s="8" t="s">
        <v>327</v>
      </c>
      <c r="D263" s="9">
        <v>44160</v>
      </c>
      <c r="E263" s="8">
        <v>5</v>
      </c>
      <c r="F263" s="8">
        <v>0.56527777777777777</v>
      </c>
      <c r="G263" s="8">
        <v>0.31666666666666665</v>
      </c>
      <c r="H263" s="8">
        <v>0.18402777777777779</v>
      </c>
      <c r="I263" s="11">
        <v>0</v>
      </c>
      <c r="J263" s="8">
        <v>0.47152777777777777</v>
      </c>
      <c r="K263" s="10">
        <v>-10663</v>
      </c>
      <c r="L263" s="8">
        <v>0.22777777777777777</v>
      </c>
      <c r="M263" s="10">
        <v>129947</v>
      </c>
      <c r="N263" s="8">
        <v>7.7777777777777779E-2</v>
      </c>
      <c r="O263" s="8">
        <v>48</v>
      </c>
      <c r="P263" s="8">
        <v>255893</v>
      </c>
      <c r="Q263" s="8">
        <f>YEAR(Table13[[#This Row],[release_date]])</f>
        <v>2020</v>
      </c>
      <c r="R263" s="8">
        <f>ROUND(Table13[[#This Row],[duration_ms]]/60000,2)</f>
        <v>4.26</v>
      </c>
      <c r="S263" s="8" t="str">
        <f>IF(Table13[[#This Row],[valence]]&gt;=0.6, "Happy", IF(Table13[[#This Row],[valence]]&gt;=0.4, "Neutral", "Sad"))</f>
        <v>Sad</v>
      </c>
      <c r="T263" s="8" t="str">
        <f>IF(Table13[[#This Row],[energy]]&gt;=0.7, "High Energy", IF(Table13[[#This Row],[energy]]&gt;=0.4, "Medium Energy", "Low Energy"))</f>
        <v>Low Energy</v>
      </c>
      <c r="U263" s="17" t="str">
        <f>IF(Table13[[#This Row],[popularity]]&gt;70, "Popular", IF(Table13[[#This Row],[popularity]]&lt;40, "Less Popular", "Mid"))</f>
        <v>Mid</v>
      </c>
    </row>
    <row r="264" spans="2:21" x14ac:dyDescent="0.3">
      <c r="B264" s="8" t="s">
        <v>336</v>
      </c>
      <c r="C264" s="8" t="s">
        <v>327</v>
      </c>
      <c r="D264" s="9">
        <v>44160</v>
      </c>
      <c r="E264" s="8">
        <v>6</v>
      </c>
      <c r="F264" s="8">
        <v>0.47638888888888892</v>
      </c>
      <c r="G264" s="8">
        <v>0.38125000000000003</v>
      </c>
      <c r="H264" s="8">
        <v>0.28958333333333336</v>
      </c>
      <c r="I264" s="8" t="s">
        <v>337</v>
      </c>
      <c r="J264" s="8">
        <v>0.41944444444444445</v>
      </c>
      <c r="K264" s="10">
        <v>-10064</v>
      </c>
      <c r="L264" s="8" t="s">
        <v>112</v>
      </c>
      <c r="M264" s="10">
        <v>110137</v>
      </c>
      <c r="N264" s="8">
        <v>0.24097222222222223</v>
      </c>
      <c r="O264" s="8">
        <v>46</v>
      </c>
      <c r="P264" s="8">
        <v>208973</v>
      </c>
      <c r="Q264" s="8">
        <f>YEAR(Table13[[#This Row],[release_date]])</f>
        <v>2020</v>
      </c>
      <c r="R264" s="8">
        <f>ROUND(Table13[[#This Row],[duration_ms]]/60000,2)</f>
        <v>3.48</v>
      </c>
      <c r="S264" s="8" t="str">
        <f>IF(Table13[[#This Row],[valence]]&gt;=0.6, "Happy", IF(Table13[[#This Row],[valence]]&gt;=0.4, "Neutral", "Sad"))</f>
        <v>Sad</v>
      </c>
      <c r="T264" s="8" t="str">
        <f>IF(Table13[[#This Row],[energy]]&gt;=0.7, "High Energy", IF(Table13[[#This Row],[energy]]&gt;=0.4, "Medium Energy", "Low Energy"))</f>
        <v>Low Energy</v>
      </c>
      <c r="U264" s="17" t="str">
        <f>IF(Table13[[#This Row],[popularity]]&gt;70, "Popular", IF(Table13[[#This Row],[popularity]]&lt;40, "Less Popular", "Mid"))</f>
        <v>Mid</v>
      </c>
    </row>
    <row r="265" spans="2:21" x14ac:dyDescent="0.3">
      <c r="B265" s="8" t="s">
        <v>338</v>
      </c>
      <c r="C265" s="8" t="s">
        <v>327</v>
      </c>
      <c r="D265" s="9">
        <v>44160</v>
      </c>
      <c r="E265" s="8">
        <v>7</v>
      </c>
      <c r="F265" s="8">
        <v>0.6166666666666667</v>
      </c>
      <c r="G265" s="8">
        <v>0.41805555555555557</v>
      </c>
      <c r="H265" s="8">
        <v>0.3430555555555555</v>
      </c>
      <c r="I265" s="8" t="s">
        <v>339</v>
      </c>
      <c r="J265" s="8">
        <v>0.62638888888888888</v>
      </c>
      <c r="K265" s="10">
        <v>-10813</v>
      </c>
      <c r="L265" s="8">
        <v>0.19236111111111109</v>
      </c>
      <c r="M265" s="10">
        <v>94955</v>
      </c>
      <c r="N265" s="8">
        <v>0.25972222222222224</v>
      </c>
      <c r="O265" s="8">
        <v>45</v>
      </c>
      <c r="P265" s="8">
        <v>208906</v>
      </c>
      <c r="Q265" s="8">
        <f>YEAR(Table13[[#This Row],[release_date]])</f>
        <v>2020</v>
      </c>
      <c r="R265" s="8">
        <f>ROUND(Table13[[#This Row],[duration_ms]]/60000,2)</f>
        <v>3.48</v>
      </c>
      <c r="S265" s="8" t="str">
        <f>IF(Table13[[#This Row],[valence]]&gt;=0.6, "Happy", IF(Table13[[#This Row],[valence]]&gt;=0.4, "Neutral", "Sad"))</f>
        <v>Sad</v>
      </c>
      <c r="T265" s="8" t="str">
        <f>IF(Table13[[#This Row],[energy]]&gt;=0.7, "High Energy", IF(Table13[[#This Row],[energy]]&gt;=0.4, "Medium Energy", "Low Energy"))</f>
        <v>Low Energy</v>
      </c>
      <c r="U265" s="17" t="str">
        <f>IF(Table13[[#This Row],[popularity]]&gt;70, "Popular", IF(Table13[[#This Row],[popularity]]&lt;40, "Less Popular", "Mid"))</f>
        <v>Mid</v>
      </c>
    </row>
    <row r="266" spans="2:21" x14ac:dyDescent="0.3">
      <c r="B266" s="8" t="s">
        <v>340</v>
      </c>
      <c r="C266" s="8" t="s">
        <v>327</v>
      </c>
      <c r="D266" s="9">
        <v>44160</v>
      </c>
      <c r="E266" s="8">
        <v>8</v>
      </c>
      <c r="F266" s="8">
        <v>0.3840277777777778</v>
      </c>
      <c r="G266" s="8">
        <v>0.26874999999999999</v>
      </c>
      <c r="H266" s="8">
        <v>0.44027777777777777</v>
      </c>
      <c r="I266" s="8" t="s">
        <v>341</v>
      </c>
      <c r="J266" s="8">
        <v>0.64652777777777781</v>
      </c>
      <c r="K266" s="10">
        <v>-9222</v>
      </c>
      <c r="L266" s="8">
        <v>0.25208333333333333</v>
      </c>
      <c r="M266" s="10">
        <v>89567</v>
      </c>
      <c r="N266" s="11">
        <v>2.9166666666666664E-2</v>
      </c>
      <c r="O266" s="8">
        <v>48</v>
      </c>
      <c r="P266" s="8">
        <v>261920</v>
      </c>
      <c r="Q266" s="8">
        <f>YEAR(Table13[[#This Row],[release_date]])</f>
        <v>2020</v>
      </c>
      <c r="R266" s="8">
        <f>ROUND(Table13[[#This Row],[duration_ms]]/60000,2)</f>
        <v>4.37</v>
      </c>
      <c r="S266" s="8" t="str">
        <f>IF(Table13[[#This Row],[valence]]&gt;=0.6, "Happy", IF(Table13[[#This Row],[valence]]&gt;=0.4, "Neutral", "Sad"))</f>
        <v>Sad</v>
      </c>
      <c r="T266" s="8" t="str">
        <f>IF(Table13[[#This Row],[energy]]&gt;=0.7, "High Energy", IF(Table13[[#This Row],[energy]]&gt;=0.4, "Medium Energy", "Low Energy"))</f>
        <v>Medium Energy</v>
      </c>
      <c r="U266" s="17" t="str">
        <f>IF(Table13[[#This Row],[popularity]]&gt;70, "Popular", IF(Table13[[#This Row],[popularity]]&lt;40, "Less Popular", "Mid"))</f>
        <v>Mid</v>
      </c>
    </row>
    <row r="267" spans="2:21" x14ac:dyDescent="0.3">
      <c r="B267" s="8" t="s">
        <v>342</v>
      </c>
      <c r="C267" s="8" t="s">
        <v>327</v>
      </c>
      <c r="D267" s="9">
        <v>44160</v>
      </c>
      <c r="E267" s="8">
        <v>9</v>
      </c>
      <c r="F267" s="8">
        <v>0.21666666666666667</v>
      </c>
      <c r="G267" s="8">
        <v>0.35486111111111113</v>
      </c>
      <c r="H267" s="8">
        <v>0.33194444444444443</v>
      </c>
      <c r="I267" s="8" t="s">
        <v>343</v>
      </c>
      <c r="J267" s="8">
        <v>0.10208333333333335</v>
      </c>
      <c r="K267" s="10">
        <v>-9837</v>
      </c>
      <c r="L267" s="8">
        <v>0.22361111111111109</v>
      </c>
      <c r="M267" s="10">
        <v>135882</v>
      </c>
      <c r="N267" s="8">
        <v>0.28333333333333333</v>
      </c>
      <c r="O267" s="8">
        <v>47</v>
      </c>
      <c r="P267" s="8">
        <v>195106</v>
      </c>
      <c r="Q267" s="8">
        <f>YEAR(Table13[[#This Row],[release_date]])</f>
        <v>2020</v>
      </c>
      <c r="R267" s="8">
        <f>ROUND(Table13[[#This Row],[duration_ms]]/60000,2)</f>
        <v>3.25</v>
      </c>
      <c r="S267" s="8" t="str">
        <f>IF(Table13[[#This Row],[valence]]&gt;=0.6, "Happy", IF(Table13[[#This Row],[valence]]&gt;=0.4, "Neutral", "Sad"))</f>
        <v>Sad</v>
      </c>
      <c r="T267" s="8" t="str">
        <f>IF(Table13[[#This Row],[energy]]&gt;=0.7, "High Energy", IF(Table13[[#This Row],[energy]]&gt;=0.4, "Medium Energy", "Low Energy"))</f>
        <v>Low Energy</v>
      </c>
      <c r="U267" s="17" t="str">
        <f>IF(Table13[[#This Row],[popularity]]&gt;70, "Popular", IF(Table13[[#This Row],[popularity]]&lt;40, "Less Popular", "Mid"))</f>
        <v>Mid</v>
      </c>
    </row>
    <row r="268" spans="2:21" x14ac:dyDescent="0.3">
      <c r="B268" s="8" t="s">
        <v>344</v>
      </c>
      <c r="C268" s="8" t="s">
        <v>327</v>
      </c>
      <c r="D268" s="9">
        <v>44160</v>
      </c>
      <c r="E268" s="8">
        <v>10</v>
      </c>
      <c r="F268" s="8">
        <v>0.59861111111111109</v>
      </c>
      <c r="G268" s="8">
        <v>0.36736111111111108</v>
      </c>
      <c r="H268" s="8">
        <v>0.21111111111111111</v>
      </c>
      <c r="I268" s="11">
        <v>0</v>
      </c>
      <c r="J268" s="8">
        <v>7.4999999999999997E-2</v>
      </c>
      <c r="K268" s="10">
        <v>-10567</v>
      </c>
      <c r="L268" s="8">
        <v>0.24722222222222223</v>
      </c>
      <c r="M268" s="14">
        <v>4.9986111111111109</v>
      </c>
      <c r="N268" s="11">
        <v>3.0555555555555555E-2</v>
      </c>
      <c r="O268" s="8">
        <v>46</v>
      </c>
      <c r="P268" s="8">
        <v>190893</v>
      </c>
      <c r="Q268" s="8">
        <f>YEAR(Table13[[#This Row],[release_date]])</f>
        <v>2020</v>
      </c>
      <c r="R268" s="8">
        <f>ROUND(Table13[[#This Row],[duration_ms]]/60000,2)</f>
        <v>3.18</v>
      </c>
      <c r="S268" s="8" t="str">
        <f>IF(Table13[[#This Row],[valence]]&gt;=0.6, "Happy", IF(Table13[[#This Row],[valence]]&gt;=0.4, "Neutral", "Sad"))</f>
        <v>Sad</v>
      </c>
      <c r="T268" s="8" t="str">
        <f>IF(Table13[[#This Row],[energy]]&gt;=0.7, "High Energy", IF(Table13[[#This Row],[energy]]&gt;=0.4, "Medium Energy", "Low Energy"))</f>
        <v>Low Energy</v>
      </c>
      <c r="U268" s="17" t="str">
        <f>IF(Table13[[#This Row],[popularity]]&gt;70, "Popular", IF(Table13[[#This Row],[popularity]]&lt;40, "Less Popular", "Mid"))</f>
        <v>Mid</v>
      </c>
    </row>
    <row r="269" spans="2:21" x14ac:dyDescent="0.3">
      <c r="B269" s="8" t="s">
        <v>345</v>
      </c>
      <c r="C269" s="8" t="s">
        <v>327</v>
      </c>
      <c r="D269" s="9">
        <v>44160</v>
      </c>
      <c r="E269" s="8">
        <v>11</v>
      </c>
      <c r="F269" s="8">
        <v>0.59652777777777777</v>
      </c>
      <c r="G269" s="8">
        <v>0.45208333333333334</v>
      </c>
      <c r="H269" s="8">
        <v>0.31875000000000003</v>
      </c>
      <c r="I269" s="8" t="s">
        <v>346</v>
      </c>
      <c r="J269" s="8">
        <v>7.2916666666666671E-2</v>
      </c>
      <c r="K269" s="10">
        <v>-11128</v>
      </c>
      <c r="L269" s="8">
        <v>0.3520833333333333</v>
      </c>
      <c r="M269" s="10">
        <v>83455</v>
      </c>
      <c r="N269" s="8">
        <v>0.31527777777777777</v>
      </c>
      <c r="O269" s="8">
        <v>46</v>
      </c>
      <c r="P269" s="8">
        <v>252880</v>
      </c>
      <c r="Q269" s="8">
        <f>YEAR(Table13[[#This Row],[release_date]])</f>
        <v>2020</v>
      </c>
      <c r="R269" s="8">
        <f>ROUND(Table13[[#This Row],[duration_ms]]/60000,2)</f>
        <v>4.21</v>
      </c>
      <c r="S269" s="8" t="str">
        <f>IF(Table13[[#This Row],[valence]]&gt;=0.6, "Happy", IF(Table13[[#This Row],[valence]]&gt;=0.4, "Neutral", "Sad"))</f>
        <v>Sad</v>
      </c>
      <c r="T269" s="8" t="str">
        <f>IF(Table13[[#This Row],[energy]]&gt;=0.7, "High Energy", IF(Table13[[#This Row],[energy]]&gt;=0.4, "Medium Energy", "Low Energy"))</f>
        <v>Low Energy</v>
      </c>
      <c r="U269" s="17" t="str">
        <f>IF(Table13[[#This Row],[popularity]]&gt;70, "Popular", IF(Table13[[#This Row],[popularity]]&lt;40, "Less Popular", "Mid"))</f>
        <v>Mid</v>
      </c>
    </row>
    <row r="270" spans="2:21" x14ac:dyDescent="0.3">
      <c r="B270" s="8" t="s">
        <v>347</v>
      </c>
      <c r="C270" s="8" t="s">
        <v>327</v>
      </c>
      <c r="D270" s="9">
        <v>44160</v>
      </c>
      <c r="E270" s="8">
        <v>12</v>
      </c>
      <c r="F270" s="8">
        <v>4.6527777777777779E-2</v>
      </c>
      <c r="G270" s="8">
        <v>0.41180555555555554</v>
      </c>
      <c r="H270" s="11">
        <v>4.8611111111111112E-3</v>
      </c>
      <c r="I270" s="8" t="s">
        <v>348</v>
      </c>
      <c r="J270" s="8">
        <v>8.0555555555555561E-2</v>
      </c>
      <c r="K270" s="10">
        <v>-9016</v>
      </c>
      <c r="L270" s="8">
        <v>0.34166666666666662</v>
      </c>
      <c r="M270" s="10">
        <v>141898</v>
      </c>
      <c r="N270" s="8">
        <v>0.31319444444444444</v>
      </c>
      <c r="O270" s="8">
        <v>44</v>
      </c>
      <c r="P270" s="8">
        <v>237266</v>
      </c>
      <c r="Q270" s="8">
        <f>YEAR(Table13[[#This Row],[release_date]])</f>
        <v>2020</v>
      </c>
      <c r="R270" s="8">
        <f>ROUND(Table13[[#This Row],[duration_ms]]/60000,2)</f>
        <v>3.95</v>
      </c>
      <c r="S270" s="8" t="str">
        <f>IF(Table13[[#This Row],[valence]]&gt;=0.6, "Happy", IF(Table13[[#This Row],[valence]]&gt;=0.4, "Neutral", "Sad"))</f>
        <v>Sad</v>
      </c>
      <c r="T270" s="8" t="str">
        <f>IF(Table13[[#This Row],[energy]]&gt;=0.7, "High Energy", IF(Table13[[#This Row],[energy]]&gt;=0.4, "Medium Energy", "Low Energy"))</f>
        <v>Low Energy</v>
      </c>
      <c r="U270" s="17" t="str">
        <f>IF(Table13[[#This Row],[popularity]]&gt;70, "Popular", IF(Table13[[#This Row],[popularity]]&lt;40, "Less Popular", "Mid"))</f>
        <v>Mid</v>
      </c>
    </row>
    <row r="271" spans="2:21" x14ac:dyDescent="0.3">
      <c r="B271" s="8" t="s">
        <v>349</v>
      </c>
      <c r="C271" s="8" t="s">
        <v>327</v>
      </c>
      <c r="D271" s="9">
        <v>44160</v>
      </c>
      <c r="E271" s="8">
        <v>13</v>
      </c>
      <c r="F271" s="8">
        <v>0.50486111111111109</v>
      </c>
      <c r="G271" s="8">
        <v>0.22013888888888888</v>
      </c>
      <c r="H271" s="8">
        <v>0.1763888888888889</v>
      </c>
      <c r="I271" s="8" t="s">
        <v>350</v>
      </c>
      <c r="J271" s="8">
        <v>0.6020833333333333</v>
      </c>
      <c r="K271" s="10">
        <v>-13679</v>
      </c>
      <c r="L271" s="8">
        <v>0.1986111111111111</v>
      </c>
      <c r="M271" s="10">
        <v>93933</v>
      </c>
      <c r="N271" s="8">
        <v>7.1527777777777773E-2</v>
      </c>
      <c r="O271" s="8">
        <v>43</v>
      </c>
      <c r="P271" s="8">
        <v>289746</v>
      </c>
      <c r="Q271" s="8">
        <f>YEAR(Table13[[#This Row],[release_date]])</f>
        <v>2020</v>
      </c>
      <c r="R271" s="8">
        <f>ROUND(Table13[[#This Row],[duration_ms]]/60000,2)</f>
        <v>4.83</v>
      </c>
      <c r="S271" s="8" t="str">
        <f>IF(Table13[[#This Row],[valence]]&gt;=0.6, "Happy", IF(Table13[[#This Row],[valence]]&gt;=0.4, "Neutral", "Sad"))</f>
        <v>Sad</v>
      </c>
      <c r="T271" s="8" t="str">
        <f>IF(Table13[[#This Row],[energy]]&gt;=0.7, "High Energy", IF(Table13[[#This Row],[energy]]&gt;=0.4, "Medium Energy", "Low Energy"))</f>
        <v>Low Energy</v>
      </c>
      <c r="U271" s="17" t="str">
        <f>IF(Table13[[#This Row],[popularity]]&gt;70, "Popular", IF(Table13[[#This Row],[popularity]]&lt;40, "Less Popular", "Mid"))</f>
        <v>Mid</v>
      </c>
    </row>
    <row r="272" spans="2:21" x14ac:dyDescent="0.3">
      <c r="B272" s="8" t="s">
        <v>351</v>
      </c>
      <c r="C272" s="8" t="s">
        <v>327</v>
      </c>
      <c r="D272" s="9">
        <v>44160</v>
      </c>
      <c r="E272" s="8">
        <v>14</v>
      </c>
      <c r="F272" s="8">
        <v>0.40902777777777777</v>
      </c>
      <c r="G272" s="8">
        <v>0.41319444444444442</v>
      </c>
      <c r="H272" s="8">
        <v>0.26111111111111113</v>
      </c>
      <c r="I272" s="11">
        <v>0</v>
      </c>
      <c r="J272" s="8">
        <v>0.68680555555555556</v>
      </c>
      <c r="K272" s="10">
        <v>-8767</v>
      </c>
      <c r="L272" s="8">
        <v>0.17777777777777778</v>
      </c>
      <c r="M272" s="10">
        <v>95946</v>
      </c>
      <c r="N272" s="8">
        <v>0.33055555555555555</v>
      </c>
      <c r="O272" s="8">
        <v>45</v>
      </c>
      <c r="P272" s="8">
        <v>294520</v>
      </c>
      <c r="Q272" s="8">
        <f>YEAR(Table13[[#This Row],[release_date]])</f>
        <v>2020</v>
      </c>
      <c r="R272" s="8">
        <f>ROUND(Table13[[#This Row],[duration_ms]]/60000,2)</f>
        <v>4.91</v>
      </c>
      <c r="S272" s="8" t="str">
        <f>IF(Table13[[#This Row],[valence]]&gt;=0.6, "Happy", IF(Table13[[#This Row],[valence]]&gt;=0.4, "Neutral", "Sad"))</f>
        <v>Sad</v>
      </c>
      <c r="T272" s="8" t="str">
        <f>IF(Table13[[#This Row],[energy]]&gt;=0.7, "High Energy", IF(Table13[[#This Row],[energy]]&gt;=0.4, "Medium Energy", "Low Energy"))</f>
        <v>Low Energy</v>
      </c>
      <c r="U272" s="17" t="str">
        <f>IF(Table13[[#This Row],[popularity]]&gt;70, "Popular", IF(Table13[[#This Row],[popularity]]&lt;40, "Less Popular", "Mid"))</f>
        <v>Mid</v>
      </c>
    </row>
    <row r="273" spans="2:21" x14ac:dyDescent="0.3">
      <c r="B273" s="8" t="s">
        <v>352</v>
      </c>
      <c r="C273" s="8" t="s">
        <v>327</v>
      </c>
      <c r="D273" s="9">
        <v>44160</v>
      </c>
      <c r="E273" s="8">
        <v>15</v>
      </c>
      <c r="F273" s="8">
        <v>0.63611111111111118</v>
      </c>
      <c r="G273" s="8">
        <v>0.44722222222222219</v>
      </c>
      <c r="H273" s="8">
        <v>0.19722222222222222</v>
      </c>
      <c r="I273" s="8" t="s">
        <v>353</v>
      </c>
      <c r="J273" s="8">
        <v>0.63124999999999998</v>
      </c>
      <c r="K273" s="10">
        <v>-12879</v>
      </c>
      <c r="L273" s="8">
        <v>0.57013888888888886</v>
      </c>
      <c r="M273" s="10">
        <v>150072</v>
      </c>
      <c r="N273" s="8">
        <v>0.22777777777777777</v>
      </c>
      <c r="O273" s="8">
        <v>43</v>
      </c>
      <c r="P273" s="8">
        <v>234000</v>
      </c>
      <c r="Q273" s="8">
        <f>YEAR(Table13[[#This Row],[release_date]])</f>
        <v>2020</v>
      </c>
      <c r="R273" s="8">
        <f>ROUND(Table13[[#This Row],[duration_ms]]/60000,2)</f>
        <v>3.9</v>
      </c>
      <c r="S273" s="8" t="str">
        <f>IF(Table13[[#This Row],[valence]]&gt;=0.6, "Happy", IF(Table13[[#This Row],[valence]]&gt;=0.4, "Neutral", "Sad"))</f>
        <v>Sad</v>
      </c>
      <c r="T273" s="8" t="str">
        <f>IF(Table13[[#This Row],[energy]]&gt;=0.7, "High Energy", IF(Table13[[#This Row],[energy]]&gt;=0.4, "Medium Energy", "Low Energy"))</f>
        <v>Low Energy</v>
      </c>
      <c r="U273" s="17" t="str">
        <f>IF(Table13[[#This Row],[popularity]]&gt;70, "Popular", IF(Table13[[#This Row],[popularity]]&lt;40, "Less Popular", "Mid"))</f>
        <v>Mid</v>
      </c>
    </row>
    <row r="274" spans="2:21" x14ac:dyDescent="0.3">
      <c r="B274" s="8" t="s">
        <v>354</v>
      </c>
      <c r="C274" s="8" t="s">
        <v>327</v>
      </c>
      <c r="D274" s="9">
        <v>44160</v>
      </c>
      <c r="E274" s="8">
        <v>16</v>
      </c>
      <c r="F274" s="8">
        <v>0.6694444444444444</v>
      </c>
      <c r="G274" s="8">
        <v>0.4694444444444445</v>
      </c>
      <c r="H274" s="8">
        <v>0.12361111111111112</v>
      </c>
      <c r="I274" s="8" t="s">
        <v>355</v>
      </c>
      <c r="J274" s="8">
        <v>9.375E-2</v>
      </c>
      <c r="K274" s="8" t="s">
        <v>356</v>
      </c>
      <c r="L274" s="8">
        <v>0.27361111111111108</v>
      </c>
      <c r="M274" s="8" t="s">
        <v>357</v>
      </c>
      <c r="N274" s="8">
        <v>0.28055555555555556</v>
      </c>
      <c r="O274" s="8">
        <v>43</v>
      </c>
      <c r="P274" s="8">
        <v>220040</v>
      </c>
      <c r="Q274" s="8">
        <f>YEAR(Table13[[#This Row],[release_date]])</f>
        <v>2020</v>
      </c>
      <c r="R274" s="8">
        <f>ROUND(Table13[[#This Row],[duration_ms]]/60000,2)</f>
        <v>3.67</v>
      </c>
      <c r="S274" s="8" t="str">
        <f>IF(Table13[[#This Row],[valence]]&gt;=0.6, "Happy", IF(Table13[[#This Row],[valence]]&gt;=0.4, "Neutral", "Sad"))</f>
        <v>Sad</v>
      </c>
      <c r="T274" s="8" t="str">
        <f>IF(Table13[[#This Row],[energy]]&gt;=0.7, "High Energy", IF(Table13[[#This Row],[energy]]&gt;=0.4, "Medium Energy", "Low Energy"))</f>
        <v>Low Energy</v>
      </c>
      <c r="U274" s="17" t="str">
        <f>IF(Table13[[#This Row],[popularity]]&gt;70, "Popular", IF(Table13[[#This Row],[popularity]]&lt;40, "Less Popular", "Mid"))</f>
        <v>Mid</v>
      </c>
    </row>
    <row r="275" spans="2:21" x14ac:dyDescent="0.3">
      <c r="B275" s="8" t="s">
        <v>358</v>
      </c>
      <c r="C275" s="8" t="s">
        <v>327</v>
      </c>
      <c r="D275" s="9">
        <v>44160</v>
      </c>
      <c r="E275" s="8">
        <v>17</v>
      </c>
      <c r="F275" s="8">
        <v>0.58472222222222225</v>
      </c>
      <c r="G275" s="8">
        <v>0.21736111111111112</v>
      </c>
      <c r="H275" s="8">
        <v>0.17916666666666667</v>
      </c>
      <c r="I275" s="8" t="s">
        <v>359</v>
      </c>
      <c r="J275" s="8">
        <v>0.65833333333333333</v>
      </c>
      <c r="K275" s="10">
        <v>-11532</v>
      </c>
      <c r="L275" s="8">
        <v>0.26597222222222222</v>
      </c>
      <c r="M275" s="10">
        <v>179947</v>
      </c>
      <c r="N275" s="8">
        <v>0.18611111111111112</v>
      </c>
      <c r="O275" s="8">
        <v>45</v>
      </c>
      <c r="P275" s="8">
        <v>211813</v>
      </c>
      <c r="Q275" s="8">
        <f>YEAR(Table13[[#This Row],[release_date]])</f>
        <v>2020</v>
      </c>
      <c r="R275" s="8">
        <f>ROUND(Table13[[#This Row],[duration_ms]]/60000,2)</f>
        <v>3.53</v>
      </c>
      <c r="S275" s="8" t="str">
        <f>IF(Table13[[#This Row],[valence]]&gt;=0.6, "Happy", IF(Table13[[#This Row],[valence]]&gt;=0.4, "Neutral", "Sad"))</f>
        <v>Sad</v>
      </c>
      <c r="T275" s="8" t="str">
        <f>IF(Table13[[#This Row],[energy]]&gt;=0.7, "High Energy", IF(Table13[[#This Row],[energy]]&gt;=0.4, "Medium Energy", "Low Energy"))</f>
        <v>Low Energy</v>
      </c>
      <c r="U275" s="17" t="str">
        <f>IF(Table13[[#This Row],[popularity]]&gt;70, "Popular", IF(Table13[[#This Row],[popularity]]&lt;40, "Less Popular", "Mid"))</f>
        <v>Mid</v>
      </c>
    </row>
    <row r="276" spans="2:21" x14ac:dyDescent="0.3">
      <c r="B276" s="8" t="s">
        <v>360</v>
      </c>
      <c r="C276" s="8" t="s">
        <v>327</v>
      </c>
      <c r="D276" s="9">
        <v>44160</v>
      </c>
      <c r="E276" s="8">
        <v>1</v>
      </c>
      <c r="F276" s="8">
        <v>0.62361111111111112</v>
      </c>
      <c r="G276" s="8">
        <v>0.4916666666666667</v>
      </c>
      <c r="H276" s="11">
        <v>1.7361111111111112E-2</v>
      </c>
      <c r="I276" s="8" t="s">
        <v>361</v>
      </c>
      <c r="J276" s="8">
        <v>7.0833333333333331E-2</v>
      </c>
      <c r="K276" s="10">
        <v>-10731</v>
      </c>
      <c r="L276" s="8">
        <v>0.25069444444444444</v>
      </c>
      <c r="M276" s="10">
        <v>139803</v>
      </c>
      <c r="N276" s="8">
        <v>0.10833333333333334</v>
      </c>
      <c r="O276" s="8">
        <v>54</v>
      </c>
      <c r="P276" s="8">
        <v>219893</v>
      </c>
      <c r="Q276" s="8">
        <f>YEAR(Table13[[#This Row],[release_date]])</f>
        <v>2020</v>
      </c>
      <c r="R276" s="8">
        <f>ROUND(Table13[[#This Row],[duration_ms]]/60000,2)</f>
        <v>3.66</v>
      </c>
      <c r="S276" s="8" t="str">
        <f>IF(Table13[[#This Row],[valence]]&gt;=0.6, "Happy", IF(Table13[[#This Row],[valence]]&gt;=0.4, "Neutral", "Sad"))</f>
        <v>Sad</v>
      </c>
      <c r="T276" s="8" t="str">
        <f>IF(Table13[[#This Row],[energy]]&gt;=0.7, "High Energy", IF(Table13[[#This Row],[energy]]&gt;=0.4, "Medium Energy", "Low Energy"))</f>
        <v>Low Energy</v>
      </c>
      <c r="U276" s="17" t="str">
        <f>IF(Table13[[#This Row],[popularity]]&gt;70, "Popular", IF(Table13[[#This Row],[popularity]]&lt;40, "Less Popular", "Mid"))</f>
        <v>Mid</v>
      </c>
    </row>
    <row r="277" spans="2:21" x14ac:dyDescent="0.3">
      <c r="B277" s="8" t="s">
        <v>362</v>
      </c>
      <c r="C277" s="8" t="s">
        <v>327</v>
      </c>
      <c r="D277" s="9">
        <v>44160</v>
      </c>
      <c r="E277" s="8">
        <v>2</v>
      </c>
      <c r="F277" s="8">
        <v>6.1111111111111109E-2</v>
      </c>
      <c r="G277" s="8">
        <v>0.27430555555555552</v>
      </c>
      <c r="H277" s="8">
        <v>0.16250000000000001</v>
      </c>
      <c r="I277" s="11">
        <v>0</v>
      </c>
      <c r="J277" s="8">
        <v>7.4305555555555555E-2</v>
      </c>
      <c r="K277" s="10">
        <v>-9704</v>
      </c>
      <c r="L277" s="8">
        <v>0.26527777777777778</v>
      </c>
      <c r="M277" s="10">
        <v>86478</v>
      </c>
      <c r="N277" s="8">
        <v>0.17152777777777775</v>
      </c>
      <c r="O277" s="8">
        <v>54</v>
      </c>
      <c r="P277" s="8">
        <v>230680</v>
      </c>
      <c r="Q277" s="8">
        <f>YEAR(Table13[[#This Row],[release_date]])</f>
        <v>2020</v>
      </c>
      <c r="R277" s="8">
        <f>ROUND(Table13[[#This Row],[duration_ms]]/60000,2)</f>
        <v>3.84</v>
      </c>
      <c r="S277" s="8" t="str">
        <f>IF(Table13[[#This Row],[valence]]&gt;=0.6, "Happy", IF(Table13[[#This Row],[valence]]&gt;=0.4, "Neutral", "Sad"))</f>
        <v>Sad</v>
      </c>
      <c r="T277" s="8" t="str">
        <f>IF(Table13[[#This Row],[energy]]&gt;=0.7, "High Energy", IF(Table13[[#This Row],[energy]]&gt;=0.4, "Medium Energy", "Low Energy"))</f>
        <v>Low Energy</v>
      </c>
      <c r="U277" s="17" t="str">
        <f>IF(Table13[[#This Row],[popularity]]&gt;70, "Popular", IF(Table13[[#This Row],[popularity]]&lt;40, "Less Popular", "Mid"))</f>
        <v>Mid</v>
      </c>
    </row>
    <row r="278" spans="2:21" x14ac:dyDescent="0.3">
      <c r="B278" s="8" t="s">
        <v>363</v>
      </c>
      <c r="C278" s="8" t="s">
        <v>327</v>
      </c>
      <c r="D278" s="9">
        <v>44160</v>
      </c>
      <c r="E278" s="8">
        <v>3</v>
      </c>
      <c r="F278" s="8">
        <v>0.51597222222222217</v>
      </c>
      <c r="G278" s="8">
        <v>4.4444444444444446E-2</v>
      </c>
      <c r="H278" s="8">
        <v>0.4291666666666667</v>
      </c>
      <c r="I278" s="8" t="s">
        <v>364</v>
      </c>
      <c r="J278" s="8">
        <v>0.39861111111111108</v>
      </c>
      <c r="K278" s="10">
        <v>-11715</v>
      </c>
      <c r="L278" s="8">
        <v>0.26319444444444445</v>
      </c>
      <c r="M278" s="10">
        <v>147948</v>
      </c>
      <c r="N278" s="8">
        <v>0.42638888888888887</v>
      </c>
      <c r="O278" s="8">
        <v>51</v>
      </c>
      <c r="P278" s="8">
        <v>232346</v>
      </c>
      <c r="Q278" s="8">
        <f>YEAR(Table13[[#This Row],[release_date]])</f>
        <v>2020</v>
      </c>
      <c r="R278" s="8">
        <f>ROUND(Table13[[#This Row],[duration_ms]]/60000,2)</f>
        <v>3.87</v>
      </c>
      <c r="S278" s="8" t="str">
        <f>IF(Table13[[#This Row],[valence]]&gt;=0.6, "Happy", IF(Table13[[#This Row],[valence]]&gt;=0.4, "Neutral", "Sad"))</f>
        <v>Neutral</v>
      </c>
      <c r="T278" s="8" t="str">
        <f>IF(Table13[[#This Row],[energy]]&gt;=0.7, "High Energy", IF(Table13[[#This Row],[energy]]&gt;=0.4, "Medium Energy", "Low Energy"))</f>
        <v>Medium Energy</v>
      </c>
      <c r="U278" s="17" t="str">
        <f>IF(Table13[[#This Row],[popularity]]&gt;70, "Popular", IF(Table13[[#This Row],[popularity]]&lt;40, "Less Popular", "Mid"))</f>
        <v>Mid</v>
      </c>
    </row>
    <row r="279" spans="2:21" x14ac:dyDescent="0.3">
      <c r="B279" s="8" t="s">
        <v>365</v>
      </c>
      <c r="C279" s="8" t="s">
        <v>327</v>
      </c>
      <c r="D279" s="9">
        <v>44160</v>
      </c>
      <c r="E279" s="8">
        <v>4</v>
      </c>
      <c r="F279" s="8">
        <v>0.58888888888888891</v>
      </c>
      <c r="G279" s="8">
        <v>0.24930555555555556</v>
      </c>
      <c r="H279" s="8">
        <v>0.21180555555555555</v>
      </c>
      <c r="I279" s="8" t="s">
        <v>366</v>
      </c>
      <c r="J279" s="8">
        <v>7.7083333333333337E-2</v>
      </c>
      <c r="K279" s="10">
        <v>-10295</v>
      </c>
      <c r="L279" s="8">
        <v>0.21249999999999999</v>
      </c>
      <c r="M279" s="10">
        <v>151956</v>
      </c>
      <c r="N279" s="8">
        <v>7.4999999999999997E-2</v>
      </c>
      <c r="O279" s="8">
        <v>53</v>
      </c>
      <c r="P279" s="8">
        <v>279893</v>
      </c>
      <c r="Q279" s="8">
        <f>YEAR(Table13[[#This Row],[release_date]])</f>
        <v>2020</v>
      </c>
      <c r="R279" s="8">
        <f>ROUND(Table13[[#This Row],[duration_ms]]/60000,2)</f>
        <v>4.66</v>
      </c>
      <c r="S279" s="8" t="str">
        <f>IF(Table13[[#This Row],[valence]]&gt;=0.6, "Happy", IF(Table13[[#This Row],[valence]]&gt;=0.4, "Neutral", "Sad"))</f>
        <v>Sad</v>
      </c>
      <c r="T279" s="8" t="str">
        <f>IF(Table13[[#This Row],[energy]]&gt;=0.7, "High Energy", IF(Table13[[#This Row],[energy]]&gt;=0.4, "Medium Energy", "Low Energy"))</f>
        <v>Low Energy</v>
      </c>
      <c r="U279" s="17" t="str">
        <f>IF(Table13[[#This Row],[popularity]]&gt;70, "Popular", IF(Table13[[#This Row],[popularity]]&lt;40, "Less Popular", "Mid"))</f>
        <v>Mid</v>
      </c>
    </row>
    <row r="280" spans="2:21" x14ac:dyDescent="0.3">
      <c r="B280" s="8" t="s">
        <v>367</v>
      </c>
      <c r="C280" s="8" t="s">
        <v>327</v>
      </c>
      <c r="D280" s="9">
        <v>44160</v>
      </c>
      <c r="E280" s="8">
        <v>5</v>
      </c>
      <c r="F280" s="8">
        <v>0.65694444444444444</v>
      </c>
      <c r="G280" s="8">
        <v>0.36874999999999997</v>
      </c>
      <c r="H280" s="8">
        <v>0.11944444444444445</v>
      </c>
      <c r="I280" s="8" t="s">
        <v>368</v>
      </c>
      <c r="J280" s="8">
        <v>0.42708333333333331</v>
      </c>
      <c r="K280" s="8" t="s">
        <v>369</v>
      </c>
      <c r="L280" s="8">
        <v>0.24374999999999999</v>
      </c>
      <c r="M280" s="10">
        <v>129007</v>
      </c>
      <c r="N280" s="8">
        <v>0.11666666666666665</v>
      </c>
      <c r="O280" s="8">
        <v>55</v>
      </c>
      <c r="P280" s="8">
        <v>295173</v>
      </c>
      <c r="Q280" s="8">
        <f>YEAR(Table13[[#This Row],[release_date]])</f>
        <v>2020</v>
      </c>
      <c r="R280" s="8">
        <f>ROUND(Table13[[#This Row],[duration_ms]]/60000,2)</f>
        <v>4.92</v>
      </c>
      <c r="S280" s="8" t="str">
        <f>IF(Table13[[#This Row],[valence]]&gt;=0.6, "Happy", IF(Table13[[#This Row],[valence]]&gt;=0.4, "Neutral", "Sad"))</f>
        <v>Sad</v>
      </c>
      <c r="T280" s="8" t="str">
        <f>IF(Table13[[#This Row],[energy]]&gt;=0.7, "High Energy", IF(Table13[[#This Row],[energy]]&gt;=0.4, "Medium Energy", "Low Energy"))</f>
        <v>Low Energy</v>
      </c>
      <c r="U280" s="17" t="str">
        <f>IF(Table13[[#This Row],[popularity]]&gt;70, "Popular", IF(Table13[[#This Row],[popularity]]&lt;40, "Less Popular", "Mid"))</f>
        <v>Mid</v>
      </c>
    </row>
    <row r="281" spans="2:21" x14ac:dyDescent="0.3">
      <c r="B281" s="8" t="s">
        <v>370</v>
      </c>
      <c r="C281" s="8" t="s">
        <v>327</v>
      </c>
      <c r="D281" s="9">
        <v>44160</v>
      </c>
      <c r="E281" s="8">
        <v>6</v>
      </c>
      <c r="F281" s="8">
        <v>5.4166666666666669E-2</v>
      </c>
      <c r="G281" s="8">
        <v>0.35347222222222219</v>
      </c>
      <c r="H281" s="8">
        <v>0.26805555555555555</v>
      </c>
      <c r="I281" s="8" t="s">
        <v>371</v>
      </c>
      <c r="J281" s="8">
        <v>8.1944444444444445E-2</v>
      </c>
      <c r="K281" s="10">
        <v>-8434</v>
      </c>
      <c r="L281" s="8">
        <v>0.18888888888888888</v>
      </c>
      <c r="M281" s="10">
        <v>109993</v>
      </c>
      <c r="N281" s="8">
        <v>7.5694444444444439E-2</v>
      </c>
      <c r="O281" s="8">
        <v>53</v>
      </c>
      <c r="P281" s="8">
        <v>237373</v>
      </c>
      <c r="Q281" s="8">
        <f>YEAR(Table13[[#This Row],[release_date]])</f>
        <v>2020</v>
      </c>
      <c r="R281" s="8">
        <f>ROUND(Table13[[#This Row],[duration_ms]]/60000,2)</f>
        <v>3.96</v>
      </c>
      <c r="S281" s="8" t="str">
        <f>IF(Table13[[#This Row],[valence]]&gt;=0.6, "Happy", IF(Table13[[#This Row],[valence]]&gt;=0.4, "Neutral", "Sad"))</f>
        <v>Sad</v>
      </c>
      <c r="T281" s="8" t="str">
        <f>IF(Table13[[#This Row],[energy]]&gt;=0.7, "High Energy", IF(Table13[[#This Row],[energy]]&gt;=0.4, "Medium Energy", "Low Energy"))</f>
        <v>Low Energy</v>
      </c>
      <c r="U281" s="17" t="str">
        <f>IF(Table13[[#This Row],[popularity]]&gt;70, "Popular", IF(Table13[[#This Row],[popularity]]&lt;40, "Less Popular", "Mid"))</f>
        <v>Mid</v>
      </c>
    </row>
    <row r="282" spans="2:21" x14ac:dyDescent="0.3">
      <c r="B282" s="8" t="s">
        <v>372</v>
      </c>
      <c r="C282" s="8" t="s">
        <v>327</v>
      </c>
      <c r="D282" s="9">
        <v>44160</v>
      </c>
      <c r="E282" s="8">
        <v>7</v>
      </c>
      <c r="F282" s="8">
        <v>0.63472222222222219</v>
      </c>
      <c r="G282" s="8">
        <v>0.48194444444444445</v>
      </c>
      <c r="H282" s="8">
        <v>0.31180555555555556</v>
      </c>
      <c r="I282" s="8" t="s">
        <v>373</v>
      </c>
      <c r="J282" s="11">
        <v>6.9444444444444447E-4</v>
      </c>
      <c r="K282" s="8" t="s">
        <v>374</v>
      </c>
      <c r="L282" s="8">
        <v>0.20902777777777778</v>
      </c>
      <c r="M282" s="10">
        <v>94963</v>
      </c>
      <c r="N282" s="8">
        <v>0.25208333333333333</v>
      </c>
      <c r="O282" s="8">
        <v>51</v>
      </c>
      <c r="P282" s="8">
        <v>208986</v>
      </c>
      <c r="Q282" s="8">
        <f>YEAR(Table13[[#This Row],[release_date]])</f>
        <v>2020</v>
      </c>
      <c r="R282" s="8">
        <f>ROUND(Table13[[#This Row],[duration_ms]]/60000,2)</f>
        <v>3.48</v>
      </c>
      <c r="S282" s="8" t="str">
        <f>IF(Table13[[#This Row],[valence]]&gt;=0.6, "Happy", IF(Table13[[#This Row],[valence]]&gt;=0.4, "Neutral", "Sad"))</f>
        <v>Sad</v>
      </c>
      <c r="T282" s="8" t="str">
        <f>IF(Table13[[#This Row],[energy]]&gt;=0.7, "High Energy", IF(Table13[[#This Row],[energy]]&gt;=0.4, "Medium Energy", "Low Energy"))</f>
        <v>Low Energy</v>
      </c>
      <c r="U282" s="17" t="str">
        <f>IF(Table13[[#This Row],[popularity]]&gt;70, "Popular", IF(Table13[[#This Row],[popularity]]&lt;40, "Less Popular", "Mid"))</f>
        <v>Mid</v>
      </c>
    </row>
    <row r="283" spans="2:21" x14ac:dyDescent="0.3">
      <c r="B283" s="8" t="s">
        <v>375</v>
      </c>
      <c r="C283" s="8" t="s">
        <v>327</v>
      </c>
      <c r="D283" s="9">
        <v>44160</v>
      </c>
      <c r="E283" s="8">
        <v>8</v>
      </c>
      <c r="F283" s="11">
        <v>3.472222222222222E-3</v>
      </c>
      <c r="G283" s="8">
        <v>0.38472222222222219</v>
      </c>
      <c r="H283" s="8">
        <v>0.4604166666666667</v>
      </c>
      <c r="I283" s="8" t="s">
        <v>376</v>
      </c>
      <c r="J283" s="8">
        <v>0.5493055555555556</v>
      </c>
      <c r="K283" s="10">
        <v>-8961</v>
      </c>
      <c r="L283" s="8">
        <v>0.22500000000000001</v>
      </c>
      <c r="M283" s="10">
        <v>89977</v>
      </c>
      <c r="N283" s="8">
        <v>0.37847222222222227</v>
      </c>
      <c r="O283" s="8">
        <v>54</v>
      </c>
      <c r="P283" s="8">
        <v>260000</v>
      </c>
      <c r="Q283" s="8">
        <f>YEAR(Table13[[#This Row],[release_date]])</f>
        <v>2020</v>
      </c>
      <c r="R283" s="8">
        <f>ROUND(Table13[[#This Row],[duration_ms]]/60000,2)</f>
        <v>4.33</v>
      </c>
      <c r="S283" s="8" t="str">
        <f>IF(Table13[[#This Row],[valence]]&gt;=0.6, "Happy", IF(Table13[[#This Row],[valence]]&gt;=0.4, "Neutral", "Sad"))</f>
        <v>Sad</v>
      </c>
      <c r="T283" s="8" t="str">
        <f>IF(Table13[[#This Row],[energy]]&gt;=0.7, "High Energy", IF(Table13[[#This Row],[energy]]&gt;=0.4, "Medium Energy", "Low Energy"))</f>
        <v>Medium Energy</v>
      </c>
      <c r="U283" s="17" t="str">
        <f>IF(Table13[[#This Row],[popularity]]&gt;70, "Popular", IF(Table13[[#This Row],[popularity]]&lt;40, "Less Popular", "Mid"))</f>
        <v>Mid</v>
      </c>
    </row>
    <row r="284" spans="2:21" x14ac:dyDescent="0.3">
      <c r="B284" s="8" t="s">
        <v>377</v>
      </c>
      <c r="C284" s="8" t="s">
        <v>327</v>
      </c>
      <c r="D284" s="9">
        <v>44160</v>
      </c>
      <c r="E284" s="8">
        <v>9</v>
      </c>
      <c r="F284" s="8">
        <v>0.64444444444444449</v>
      </c>
      <c r="G284" s="8">
        <v>0.30208333333333331</v>
      </c>
      <c r="H284" s="8">
        <v>0.23055555555555554</v>
      </c>
      <c r="I284" s="8" t="s">
        <v>378</v>
      </c>
      <c r="J284" s="8">
        <v>0.6020833333333333</v>
      </c>
      <c r="K284" s="10">
        <v>-11611</v>
      </c>
      <c r="L284" s="8" t="s">
        <v>235</v>
      </c>
      <c r="M284" s="10">
        <v>68097</v>
      </c>
      <c r="N284" s="8">
        <v>0.10902777777777778</v>
      </c>
      <c r="O284" s="8">
        <v>54</v>
      </c>
      <c r="P284" s="8">
        <v>209293</v>
      </c>
      <c r="Q284" s="8">
        <f>YEAR(Table13[[#This Row],[release_date]])</f>
        <v>2020</v>
      </c>
      <c r="R284" s="8">
        <f>ROUND(Table13[[#This Row],[duration_ms]]/60000,2)</f>
        <v>3.49</v>
      </c>
      <c r="S284" s="8" t="str">
        <f>IF(Table13[[#This Row],[valence]]&gt;=0.6, "Happy", IF(Table13[[#This Row],[valence]]&gt;=0.4, "Neutral", "Sad"))</f>
        <v>Sad</v>
      </c>
      <c r="T284" s="8" t="str">
        <f>IF(Table13[[#This Row],[energy]]&gt;=0.7, "High Energy", IF(Table13[[#This Row],[energy]]&gt;=0.4, "Medium Energy", "Low Energy"))</f>
        <v>Low Energy</v>
      </c>
      <c r="U284" s="17" t="str">
        <f>IF(Table13[[#This Row],[popularity]]&gt;70, "Popular", IF(Table13[[#This Row],[popularity]]&lt;40, "Less Popular", "Mid"))</f>
        <v>Mid</v>
      </c>
    </row>
    <row r="285" spans="2:21" x14ac:dyDescent="0.3">
      <c r="B285" s="8" t="s">
        <v>379</v>
      </c>
      <c r="C285" s="8" t="s">
        <v>327</v>
      </c>
      <c r="D285" s="9">
        <v>44160</v>
      </c>
      <c r="E285" s="8">
        <v>10</v>
      </c>
      <c r="F285" s="8">
        <v>0.61319444444444449</v>
      </c>
      <c r="G285" s="8">
        <v>0.33958333333333335</v>
      </c>
      <c r="H285" s="8">
        <v>0.16319444444444445</v>
      </c>
      <c r="I285" s="11">
        <v>0</v>
      </c>
      <c r="J285" s="8">
        <v>7.8472222222222221E-2</v>
      </c>
      <c r="K285" s="10">
        <v>-10274</v>
      </c>
      <c r="L285" s="8">
        <v>0.24722222222222223</v>
      </c>
      <c r="M285" s="10">
        <v>117699</v>
      </c>
      <c r="N285" s="8">
        <v>0.30208333333333331</v>
      </c>
      <c r="O285" s="8">
        <v>53</v>
      </c>
      <c r="P285" s="8">
        <v>183720</v>
      </c>
      <c r="Q285" s="8">
        <f>YEAR(Table13[[#This Row],[release_date]])</f>
        <v>2020</v>
      </c>
      <c r="R285" s="8">
        <f>ROUND(Table13[[#This Row],[duration_ms]]/60000,2)</f>
        <v>3.06</v>
      </c>
      <c r="S285" s="8" t="str">
        <f>IF(Table13[[#This Row],[valence]]&gt;=0.6, "Happy", IF(Table13[[#This Row],[valence]]&gt;=0.4, "Neutral", "Sad"))</f>
        <v>Sad</v>
      </c>
      <c r="T285" s="8" t="str">
        <f>IF(Table13[[#This Row],[energy]]&gt;=0.7, "High Energy", IF(Table13[[#This Row],[energy]]&gt;=0.4, "Medium Energy", "Low Energy"))</f>
        <v>Low Energy</v>
      </c>
      <c r="U285" s="17" t="str">
        <f>IF(Table13[[#This Row],[popularity]]&gt;70, "Popular", IF(Table13[[#This Row],[popularity]]&lt;40, "Less Popular", "Mid"))</f>
        <v>Mid</v>
      </c>
    </row>
    <row r="286" spans="2:21" x14ac:dyDescent="0.3">
      <c r="B286" s="8" t="s">
        <v>380</v>
      </c>
      <c r="C286" s="8" t="s">
        <v>327</v>
      </c>
      <c r="D286" s="9">
        <v>44160</v>
      </c>
      <c r="E286" s="8">
        <v>11</v>
      </c>
      <c r="F286" s="8">
        <v>0.65416666666666667</v>
      </c>
      <c r="G286" s="11">
        <v>4.0972222222222222E-2</v>
      </c>
      <c r="H286" s="8">
        <v>0.19583333333333333</v>
      </c>
      <c r="I286" s="8" t="s">
        <v>381</v>
      </c>
      <c r="J286" s="11">
        <v>7.6388888888888886E-3</v>
      </c>
      <c r="K286" s="10">
        <v>-10542</v>
      </c>
      <c r="L286" s="8">
        <v>0.19513888888888889</v>
      </c>
      <c r="M286" s="10">
        <v>83438</v>
      </c>
      <c r="N286" s="8">
        <v>0.24374999999999999</v>
      </c>
      <c r="O286" s="8">
        <v>51</v>
      </c>
      <c r="P286" s="8">
        <v>257359</v>
      </c>
      <c r="Q286" s="8">
        <f>YEAR(Table13[[#This Row],[release_date]])</f>
        <v>2020</v>
      </c>
      <c r="R286" s="8">
        <f>ROUND(Table13[[#This Row],[duration_ms]]/60000,2)</f>
        <v>4.29</v>
      </c>
      <c r="S286" s="8" t="str">
        <f>IF(Table13[[#This Row],[valence]]&gt;=0.6, "Happy", IF(Table13[[#This Row],[valence]]&gt;=0.4, "Neutral", "Sad"))</f>
        <v>Sad</v>
      </c>
      <c r="T286" s="8" t="str">
        <f>IF(Table13[[#This Row],[energy]]&gt;=0.7, "High Energy", IF(Table13[[#This Row],[energy]]&gt;=0.4, "Medium Energy", "Low Energy"))</f>
        <v>Low Energy</v>
      </c>
      <c r="U286" s="17" t="str">
        <f>IF(Table13[[#This Row],[popularity]]&gt;70, "Popular", IF(Table13[[#This Row],[popularity]]&lt;40, "Less Popular", "Mid"))</f>
        <v>Mid</v>
      </c>
    </row>
    <row r="287" spans="2:21" x14ac:dyDescent="0.3">
      <c r="B287" s="8" t="s">
        <v>382</v>
      </c>
      <c r="C287" s="8" t="s">
        <v>327</v>
      </c>
      <c r="D287" s="9">
        <v>44160</v>
      </c>
      <c r="E287" s="8">
        <v>12</v>
      </c>
      <c r="F287" s="8">
        <v>0.61597222222222225</v>
      </c>
      <c r="G287" s="8">
        <v>0.4604166666666667</v>
      </c>
      <c r="H287" s="8">
        <v>0.32291666666666669</v>
      </c>
      <c r="I287" s="8" t="s">
        <v>383</v>
      </c>
      <c r="J287" s="8">
        <v>7.5694444444444439E-2</v>
      </c>
      <c r="K287" s="10">
        <v>-10463</v>
      </c>
      <c r="L287" s="8">
        <v>0.28333333333333333</v>
      </c>
      <c r="M287" s="10">
        <v>141834</v>
      </c>
      <c r="N287" s="8">
        <v>0.24027777777777778</v>
      </c>
      <c r="O287" s="8">
        <v>50</v>
      </c>
      <c r="P287" s="8">
        <v>238333</v>
      </c>
      <c r="Q287" s="8">
        <f>YEAR(Table13[[#This Row],[release_date]])</f>
        <v>2020</v>
      </c>
      <c r="R287" s="8">
        <f>ROUND(Table13[[#This Row],[duration_ms]]/60000,2)</f>
        <v>3.97</v>
      </c>
      <c r="S287" s="8" t="str">
        <f>IF(Table13[[#This Row],[valence]]&gt;=0.6, "Happy", IF(Table13[[#This Row],[valence]]&gt;=0.4, "Neutral", "Sad"))</f>
        <v>Sad</v>
      </c>
      <c r="T287" s="8" t="str">
        <f>IF(Table13[[#This Row],[energy]]&gt;=0.7, "High Energy", IF(Table13[[#This Row],[energy]]&gt;=0.4, "Medium Energy", "Low Energy"))</f>
        <v>Low Energy</v>
      </c>
      <c r="U287" s="17" t="str">
        <f>IF(Table13[[#This Row],[popularity]]&gt;70, "Popular", IF(Table13[[#This Row],[popularity]]&lt;40, "Less Popular", "Mid"))</f>
        <v>Mid</v>
      </c>
    </row>
    <row r="288" spans="2:21" x14ac:dyDescent="0.3">
      <c r="B288" s="8" t="s">
        <v>384</v>
      </c>
      <c r="C288" s="8" t="s">
        <v>327</v>
      </c>
      <c r="D288" s="9">
        <v>44160</v>
      </c>
      <c r="E288" s="8">
        <v>13</v>
      </c>
      <c r="F288" s="8">
        <v>0.63611111111111118</v>
      </c>
      <c r="G288" s="8">
        <v>0.36388888888888887</v>
      </c>
      <c r="H288" s="11">
        <v>1.3888888888888889E-3</v>
      </c>
      <c r="I288" s="8" t="s">
        <v>385</v>
      </c>
      <c r="J288" s="8" t="s">
        <v>386</v>
      </c>
      <c r="K288" s="10">
        <v>-13004</v>
      </c>
      <c r="L288" s="8">
        <v>0.19027777777777777</v>
      </c>
      <c r="M288" s="8" t="s">
        <v>387</v>
      </c>
      <c r="N288" s="8">
        <v>7.8472222222222221E-2</v>
      </c>
      <c r="O288" s="8">
        <v>49</v>
      </c>
      <c r="P288" s="8">
        <v>274880</v>
      </c>
      <c r="Q288" s="8">
        <f>YEAR(Table13[[#This Row],[release_date]])</f>
        <v>2020</v>
      </c>
      <c r="R288" s="8">
        <f>ROUND(Table13[[#This Row],[duration_ms]]/60000,2)</f>
        <v>4.58</v>
      </c>
      <c r="S288" s="8" t="str">
        <f>IF(Table13[[#This Row],[valence]]&gt;=0.6, "Happy", IF(Table13[[#This Row],[valence]]&gt;=0.4, "Neutral", "Sad"))</f>
        <v>Sad</v>
      </c>
      <c r="T288" s="8" t="str">
        <f>IF(Table13[[#This Row],[energy]]&gt;=0.7, "High Energy", IF(Table13[[#This Row],[energy]]&gt;=0.4, "Medium Energy", "Low Energy"))</f>
        <v>Low Energy</v>
      </c>
      <c r="U288" s="17" t="str">
        <f>IF(Table13[[#This Row],[popularity]]&gt;70, "Popular", IF(Table13[[#This Row],[popularity]]&lt;40, "Less Popular", "Mid"))</f>
        <v>Mid</v>
      </c>
    </row>
    <row r="289" spans="2:21" x14ac:dyDescent="0.3">
      <c r="B289" s="8" t="s">
        <v>388</v>
      </c>
      <c r="C289" s="8" t="s">
        <v>327</v>
      </c>
      <c r="D289" s="9">
        <v>44160</v>
      </c>
      <c r="E289" s="8">
        <v>14</v>
      </c>
      <c r="F289" s="8">
        <v>0.58402777777777781</v>
      </c>
      <c r="G289" s="8">
        <v>0.37361111111111112</v>
      </c>
      <c r="H289" s="8">
        <v>0.21944444444444444</v>
      </c>
      <c r="I289" s="11">
        <v>0</v>
      </c>
      <c r="J289" s="8">
        <v>8.2638888888888887E-2</v>
      </c>
      <c r="K289" s="8" t="s">
        <v>389</v>
      </c>
      <c r="L289" s="8">
        <v>0.2076388888888889</v>
      </c>
      <c r="M289" s="8" t="s">
        <v>390</v>
      </c>
      <c r="N289" s="8">
        <v>0.35972222222222222</v>
      </c>
      <c r="O289" s="8">
        <v>51</v>
      </c>
      <c r="P289" s="8">
        <v>290040</v>
      </c>
      <c r="Q289" s="8">
        <f>YEAR(Table13[[#This Row],[release_date]])</f>
        <v>2020</v>
      </c>
      <c r="R289" s="8">
        <f>ROUND(Table13[[#This Row],[duration_ms]]/60000,2)</f>
        <v>4.83</v>
      </c>
      <c r="S289" s="8" t="str">
        <f>IF(Table13[[#This Row],[valence]]&gt;=0.6, "Happy", IF(Table13[[#This Row],[valence]]&gt;=0.4, "Neutral", "Sad"))</f>
        <v>Sad</v>
      </c>
      <c r="T289" s="8" t="str">
        <f>IF(Table13[[#This Row],[energy]]&gt;=0.7, "High Energy", IF(Table13[[#This Row],[energy]]&gt;=0.4, "Medium Energy", "Low Energy"))</f>
        <v>Low Energy</v>
      </c>
      <c r="U289" s="17" t="str">
        <f>IF(Table13[[#This Row],[popularity]]&gt;70, "Popular", IF(Table13[[#This Row],[popularity]]&lt;40, "Less Popular", "Mid"))</f>
        <v>Mid</v>
      </c>
    </row>
    <row r="290" spans="2:21" x14ac:dyDescent="0.3">
      <c r="B290" s="8" t="s">
        <v>391</v>
      </c>
      <c r="C290" s="8" t="s">
        <v>327</v>
      </c>
      <c r="D290" s="9">
        <v>44160</v>
      </c>
      <c r="E290" s="8">
        <v>15</v>
      </c>
      <c r="F290" s="8">
        <v>6.458333333333334E-2</v>
      </c>
      <c r="G290" s="8">
        <v>0.42986111111111108</v>
      </c>
      <c r="H290" s="8">
        <v>0.2388888888888889</v>
      </c>
      <c r="I290" s="8" t="s">
        <v>392</v>
      </c>
      <c r="J290" s="8">
        <v>0.50972222222222219</v>
      </c>
      <c r="K290" s="10">
        <v>-11472</v>
      </c>
      <c r="L290" s="8">
        <v>0.44930555555555557</v>
      </c>
      <c r="M290" s="10">
        <v>149897</v>
      </c>
      <c r="N290" s="8">
        <v>0.35625000000000001</v>
      </c>
      <c r="O290" s="8">
        <v>50</v>
      </c>
      <c r="P290" s="8">
        <v>214373</v>
      </c>
      <c r="Q290" s="8">
        <f>YEAR(Table13[[#This Row],[release_date]])</f>
        <v>2020</v>
      </c>
      <c r="R290" s="8">
        <f>ROUND(Table13[[#This Row],[duration_ms]]/60000,2)</f>
        <v>3.57</v>
      </c>
      <c r="S290" s="8" t="str">
        <f>IF(Table13[[#This Row],[valence]]&gt;=0.6, "Happy", IF(Table13[[#This Row],[valence]]&gt;=0.4, "Neutral", "Sad"))</f>
        <v>Sad</v>
      </c>
      <c r="T290" s="8" t="str">
        <f>IF(Table13[[#This Row],[energy]]&gt;=0.7, "High Energy", IF(Table13[[#This Row],[energy]]&gt;=0.4, "Medium Energy", "Low Energy"))</f>
        <v>Low Energy</v>
      </c>
      <c r="U290" s="17" t="str">
        <f>IF(Table13[[#This Row],[popularity]]&gt;70, "Popular", IF(Table13[[#This Row],[popularity]]&lt;40, "Less Popular", "Mid"))</f>
        <v>Mid</v>
      </c>
    </row>
    <row r="291" spans="2:21" x14ac:dyDescent="0.3">
      <c r="B291" s="8" t="s">
        <v>393</v>
      </c>
      <c r="C291" s="8" t="s">
        <v>327</v>
      </c>
      <c r="D291" s="9">
        <v>44160</v>
      </c>
      <c r="E291" s="8">
        <v>16</v>
      </c>
      <c r="F291" s="8">
        <v>0.66805555555555562</v>
      </c>
      <c r="G291" s="8">
        <v>0.47361111111111115</v>
      </c>
      <c r="H291" s="8">
        <v>0.1076388888888889</v>
      </c>
      <c r="I291" s="11">
        <v>0</v>
      </c>
      <c r="J291" s="11">
        <v>1.2499999999999999E-2</v>
      </c>
      <c r="K291" s="10">
        <v>-13083</v>
      </c>
      <c r="L291" s="8">
        <v>0.27361111111111108</v>
      </c>
      <c r="M291" s="10">
        <v>118832</v>
      </c>
      <c r="N291" s="8">
        <v>0.3354166666666667</v>
      </c>
      <c r="O291" s="8">
        <v>51</v>
      </c>
      <c r="P291" s="8">
        <v>221800</v>
      </c>
      <c r="Q291" s="8">
        <f>YEAR(Table13[[#This Row],[release_date]])</f>
        <v>2020</v>
      </c>
      <c r="R291" s="8">
        <f>ROUND(Table13[[#This Row],[duration_ms]]/60000,2)</f>
        <v>3.7</v>
      </c>
      <c r="S291" s="8" t="str">
        <f>IF(Table13[[#This Row],[valence]]&gt;=0.6, "Happy", IF(Table13[[#This Row],[valence]]&gt;=0.4, "Neutral", "Sad"))</f>
        <v>Sad</v>
      </c>
      <c r="T291" s="8" t="str">
        <f>IF(Table13[[#This Row],[energy]]&gt;=0.7, "High Energy", IF(Table13[[#This Row],[energy]]&gt;=0.4, "Medium Energy", "Low Energy"))</f>
        <v>Low Energy</v>
      </c>
      <c r="U291" s="17" t="str">
        <f>IF(Table13[[#This Row],[popularity]]&gt;70, "Popular", IF(Table13[[#This Row],[popularity]]&lt;40, "Less Popular", "Mid"))</f>
        <v>Mid</v>
      </c>
    </row>
    <row r="292" spans="2:21" x14ac:dyDescent="0.3">
      <c r="B292" s="8" t="s">
        <v>394</v>
      </c>
      <c r="C292" s="8" t="s">
        <v>327</v>
      </c>
      <c r="D292" s="9">
        <v>44160</v>
      </c>
      <c r="E292" s="8">
        <v>17</v>
      </c>
      <c r="F292" s="8">
        <v>0.55138888888888882</v>
      </c>
      <c r="G292" s="8">
        <v>0.42083333333333334</v>
      </c>
      <c r="H292" s="8">
        <v>0.1534722222222222</v>
      </c>
      <c r="I292" s="11">
        <v>0</v>
      </c>
      <c r="J292" s="8">
        <v>0.6166666666666667</v>
      </c>
      <c r="K292" s="10">
        <v>-11767</v>
      </c>
      <c r="L292" s="8">
        <v>0.32500000000000001</v>
      </c>
      <c r="M292" s="10">
        <v>89844</v>
      </c>
      <c r="N292" s="8">
        <v>7.7777777777777779E-2</v>
      </c>
      <c r="O292" s="8">
        <v>53</v>
      </c>
      <c r="P292" s="8">
        <v>199733</v>
      </c>
      <c r="Q292" s="8">
        <f>YEAR(Table13[[#This Row],[release_date]])</f>
        <v>2020</v>
      </c>
      <c r="R292" s="8">
        <f>ROUND(Table13[[#This Row],[duration_ms]]/60000,2)</f>
        <v>3.33</v>
      </c>
      <c r="S292" s="8" t="str">
        <f>IF(Table13[[#This Row],[valence]]&gt;=0.6, "Happy", IF(Table13[[#This Row],[valence]]&gt;=0.4, "Neutral", "Sad"))</f>
        <v>Sad</v>
      </c>
      <c r="T292" s="8" t="str">
        <f>IF(Table13[[#This Row],[energy]]&gt;=0.7, "High Energy", IF(Table13[[#This Row],[energy]]&gt;=0.4, "Medium Energy", "Low Energy"))</f>
        <v>Low Energy</v>
      </c>
      <c r="U292" s="17" t="str">
        <f>IF(Table13[[#This Row],[popularity]]&gt;70, "Popular", IF(Table13[[#This Row],[popularity]]&lt;40, "Less Popular", "Mid"))</f>
        <v>Mid</v>
      </c>
    </row>
    <row r="293" spans="2:21" x14ac:dyDescent="0.3">
      <c r="B293" s="8" t="s">
        <v>326</v>
      </c>
      <c r="C293" s="8" t="s">
        <v>395</v>
      </c>
      <c r="D293" s="9">
        <v>44061</v>
      </c>
      <c r="E293" s="8">
        <v>1</v>
      </c>
      <c r="F293" s="8">
        <v>5.2083333333333336E-2</v>
      </c>
      <c r="G293" s="8">
        <v>5.4166666666666669E-2</v>
      </c>
      <c r="H293" s="8">
        <v>0.25069444444444444</v>
      </c>
      <c r="I293" s="8" t="s">
        <v>328</v>
      </c>
      <c r="J293" s="8">
        <v>7.4999999999999997E-2</v>
      </c>
      <c r="K293" s="10">
        <v>-6942</v>
      </c>
      <c r="L293" s="8" t="s">
        <v>29</v>
      </c>
      <c r="M293" s="10">
        <v>139902</v>
      </c>
      <c r="N293" s="8">
        <v>0.11319444444444444</v>
      </c>
      <c r="O293" s="8">
        <v>68</v>
      </c>
      <c r="P293" s="8">
        <v>210240</v>
      </c>
      <c r="Q293" s="8">
        <f>YEAR(Table13[[#This Row],[release_date]])</f>
        <v>2020</v>
      </c>
      <c r="R293" s="8">
        <f>ROUND(Table13[[#This Row],[duration_ms]]/60000,2)</f>
        <v>3.5</v>
      </c>
      <c r="S293" s="8" t="str">
        <f>IF(Table13[[#This Row],[valence]]&gt;=0.6, "Happy", IF(Table13[[#This Row],[valence]]&gt;=0.4, "Neutral", "Sad"))</f>
        <v>Sad</v>
      </c>
      <c r="T293" s="8" t="str">
        <f>IF(Table13[[#This Row],[energy]]&gt;=0.7, "High Energy", IF(Table13[[#This Row],[energy]]&gt;=0.4, "Medium Energy", "Low Energy"))</f>
        <v>Low Energy</v>
      </c>
      <c r="U293" s="17" t="str">
        <f>IF(Table13[[#This Row],[popularity]]&gt;70, "Popular", IF(Table13[[#This Row],[popularity]]&lt;40, "Less Popular", "Mid"))</f>
        <v>Mid</v>
      </c>
    </row>
    <row r="294" spans="2:21" x14ac:dyDescent="0.3">
      <c r="B294" s="8" t="s">
        <v>329</v>
      </c>
      <c r="C294" s="8" t="s">
        <v>395</v>
      </c>
      <c r="D294" s="9">
        <v>44061</v>
      </c>
      <c r="E294" s="8">
        <v>2</v>
      </c>
      <c r="F294" s="8">
        <v>0.36458333333333331</v>
      </c>
      <c r="G294" s="8">
        <v>0.42499999999999999</v>
      </c>
      <c r="H294" s="11">
        <v>4.027777777777778E-2</v>
      </c>
      <c r="I294" s="8" t="s">
        <v>330</v>
      </c>
      <c r="J294" s="11">
        <v>1.8055555555555557E-2</v>
      </c>
      <c r="K294" s="10">
        <v>-8572</v>
      </c>
      <c r="L294" s="8">
        <v>0.29097222222222224</v>
      </c>
      <c r="M294" s="10">
        <v>130045</v>
      </c>
      <c r="N294" s="8">
        <v>0.37083333333333335</v>
      </c>
      <c r="O294" s="8">
        <v>68</v>
      </c>
      <c r="P294" s="8">
        <v>239560</v>
      </c>
      <c r="Q294" s="8">
        <f>YEAR(Table13[[#This Row],[release_date]])</f>
        <v>2020</v>
      </c>
      <c r="R294" s="8">
        <f>ROUND(Table13[[#This Row],[duration_ms]]/60000,2)</f>
        <v>3.99</v>
      </c>
      <c r="S294" s="8" t="str">
        <f>IF(Table13[[#This Row],[valence]]&gt;=0.6, "Happy", IF(Table13[[#This Row],[valence]]&gt;=0.4, "Neutral", "Sad"))</f>
        <v>Sad</v>
      </c>
      <c r="T294" s="8" t="str">
        <f>IF(Table13[[#This Row],[energy]]&gt;=0.7, "High Energy", IF(Table13[[#This Row],[energy]]&gt;=0.4, "Medium Energy", "Low Energy"))</f>
        <v>Low Energy</v>
      </c>
      <c r="U294" s="17" t="str">
        <f>IF(Table13[[#This Row],[popularity]]&gt;70, "Popular", IF(Table13[[#This Row],[popularity]]&lt;40, "Less Popular", "Mid"))</f>
        <v>Mid</v>
      </c>
    </row>
    <row r="295" spans="2:21" x14ac:dyDescent="0.3">
      <c r="B295" s="8" t="s">
        <v>331</v>
      </c>
      <c r="C295" s="8" t="s">
        <v>395</v>
      </c>
      <c r="D295" s="9">
        <v>44061</v>
      </c>
      <c r="E295" s="8">
        <v>3</v>
      </c>
      <c r="F295" s="8">
        <v>0.33402777777777781</v>
      </c>
      <c r="G295" s="8">
        <v>0.4777777777777778</v>
      </c>
      <c r="H295" s="8">
        <v>0.45347222222222222</v>
      </c>
      <c r="I295" s="8" t="s">
        <v>332</v>
      </c>
      <c r="J295" s="8">
        <v>7.3611111111111113E-2</v>
      </c>
      <c r="K295" s="10">
        <v>-8558</v>
      </c>
      <c r="L295" s="8">
        <v>0.27986111111111112</v>
      </c>
      <c r="M295" s="10">
        <v>147991</v>
      </c>
      <c r="N295" s="8">
        <v>0.48680555555555555</v>
      </c>
      <c r="O295" s="8">
        <v>66</v>
      </c>
      <c r="P295" s="8">
        <v>231000</v>
      </c>
      <c r="Q295" s="8">
        <f>YEAR(Table13[[#This Row],[release_date]])</f>
        <v>2020</v>
      </c>
      <c r="R295" s="8">
        <f>ROUND(Table13[[#This Row],[duration_ms]]/60000,2)</f>
        <v>3.85</v>
      </c>
      <c r="S295" s="8" t="str">
        <f>IF(Table13[[#This Row],[valence]]&gt;=0.6, "Happy", IF(Table13[[#This Row],[valence]]&gt;=0.4, "Neutral", "Sad"))</f>
        <v>Neutral</v>
      </c>
      <c r="T295" s="8" t="str">
        <f>IF(Table13[[#This Row],[energy]]&gt;=0.7, "High Energy", IF(Table13[[#This Row],[energy]]&gt;=0.4, "Medium Energy", "Low Energy"))</f>
        <v>Medium Energy</v>
      </c>
      <c r="U295" s="17" t="str">
        <f>IF(Table13[[#This Row],[popularity]]&gt;70, "Popular", IF(Table13[[#This Row],[popularity]]&lt;40, "Less Popular", "Mid"))</f>
        <v>Mid</v>
      </c>
    </row>
    <row r="296" spans="2:21" x14ac:dyDescent="0.3">
      <c r="B296" s="8" t="s">
        <v>333</v>
      </c>
      <c r="C296" s="8" t="s">
        <v>395</v>
      </c>
      <c r="D296" s="9">
        <v>44061</v>
      </c>
      <c r="E296" s="8">
        <v>4</v>
      </c>
      <c r="F296" s="8">
        <v>0.52847222222222223</v>
      </c>
      <c r="G296" s="11">
        <v>2.1527777777777781E-2</v>
      </c>
      <c r="H296" s="8">
        <v>0.25972222222222224</v>
      </c>
      <c r="I296" s="8" t="s">
        <v>334</v>
      </c>
      <c r="J296" s="11">
        <v>7.6388888888888886E-3</v>
      </c>
      <c r="K296" s="10">
        <v>-8464</v>
      </c>
      <c r="L296" s="8">
        <v>0.19097222222222221</v>
      </c>
      <c r="M296" s="10">
        <v>75938</v>
      </c>
      <c r="N296" s="11">
        <v>1.1111111111111112E-2</v>
      </c>
      <c r="O296" s="8">
        <v>68</v>
      </c>
      <c r="P296" s="8">
        <v>285640</v>
      </c>
      <c r="Q296" s="8">
        <f>YEAR(Table13[[#This Row],[release_date]])</f>
        <v>2020</v>
      </c>
      <c r="R296" s="8">
        <f>ROUND(Table13[[#This Row],[duration_ms]]/60000,2)</f>
        <v>4.76</v>
      </c>
      <c r="S296" s="8" t="str">
        <f>IF(Table13[[#This Row],[valence]]&gt;=0.6, "Happy", IF(Table13[[#This Row],[valence]]&gt;=0.4, "Neutral", "Sad"))</f>
        <v>Sad</v>
      </c>
      <c r="T296" s="8" t="str">
        <f>IF(Table13[[#This Row],[energy]]&gt;=0.7, "High Energy", IF(Table13[[#This Row],[energy]]&gt;=0.4, "Medium Energy", "Low Energy"))</f>
        <v>Low Energy</v>
      </c>
      <c r="U296" s="17" t="str">
        <f>IF(Table13[[#This Row],[popularity]]&gt;70, "Popular", IF(Table13[[#This Row],[popularity]]&lt;40, "Less Popular", "Mid"))</f>
        <v>Mid</v>
      </c>
    </row>
    <row r="297" spans="2:21" x14ac:dyDescent="0.3">
      <c r="B297" s="8" t="s">
        <v>335</v>
      </c>
      <c r="C297" s="8" t="s">
        <v>395</v>
      </c>
      <c r="D297" s="9">
        <v>44061</v>
      </c>
      <c r="E297" s="8">
        <v>5</v>
      </c>
      <c r="F297" s="8">
        <v>0.56527777777777777</v>
      </c>
      <c r="G297" s="8">
        <v>0.31666666666666665</v>
      </c>
      <c r="H297" s="8">
        <v>0.18402777777777779</v>
      </c>
      <c r="I297" s="11">
        <v>0</v>
      </c>
      <c r="J297" s="8">
        <v>0.47152777777777777</v>
      </c>
      <c r="K297" s="10">
        <v>-10663</v>
      </c>
      <c r="L297" s="8">
        <v>0.22777777777777777</v>
      </c>
      <c r="M297" s="10">
        <v>129947</v>
      </c>
      <c r="N297" s="8">
        <v>7.7777777777777779E-2</v>
      </c>
      <c r="O297" s="8">
        <v>68</v>
      </c>
      <c r="P297" s="8">
        <v>255893</v>
      </c>
      <c r="Q297" s="8">
        <f>YEAR(Table13[[#This Row],[release_date]])</f>
        <v>2020</v>
      </c>
      <c r="R297" s="8">
        <f>ROUND(Table13[[#This Row],[duration_ms]]/60000,2)</f>
        <v>4.26</v>
      </c>
      <c r="S297" s="8" t="str">
        <f>IF(Table13[[#This Row],[valence]]&gt;=0.6, "Happy", IF(Table13[[#This Row],[valence]]&gt;=0.4, "Neutral", "Sad"))</f>
        <v>Sad</v>
      </c>
      <c r="T297" s="8" t="str">
        <f>IF(Table13[[#This Row],[energy]]&gt;=0.7, "High Energy", IF(Table13[[#This Row],[energy]]&gt;=0.4, "Medium Energy", "Low Energy"))</f>
        <v>Low Energy</v>
      </c>
      <c r="U297" s="17" t="str">
        <f>IF(Table13[[#This Row],[popularity]]&gt;70, "Popular", IF(Table13[[#This Row],[popularity]]&lt;40, "Less Popular", "Mid"))</f>
        <v>Mid</v>
      </c>
    </row>
    <row r="298" spans="2:21" x14ac:dyDescent="0.3">
      <c r="B298" s="8" t="s">
        <v>336</v>
      </c>
      <c r="C298" s="8" t="s">
        <v>395</v>
      </c>
      <c r="D298" s="9">
        <v>44061</v>
      </c>
      <c r="E298" s="8">
        <v>6</v>
      </c>
      <c r="F298" s="8">
        <v>0.47638888888888892</v>
      </c>
      <c r="G298" s="8">
        <v>0.38125000000000003</v>
      </c>
      <c r="H298" s="8">
        <v>0.28958333333333336</v>
      </c>
      <c r="I298" s="8" t="s">
        <v>337</v>
      </c>
      <c r="J298" s="8">
        <v>0.41944444444444445</v>
      </c>
      <c r="K298" s="10">
        <v>-10064</v>
      </c>
      <c r="L298" s="8" t="s">
        <v>112</v>
      </c>
      <c r="M298" s="10">
        <v>110137</v>
      </c>
      <c r="N298" s="8">
        <v>0.24097222222222223</v>
      </c>
      <c r="O298" s="8">
        <v>66</v>
      </c>
      <c r="P298" s="8">
        <v>208973</v>
      </c>
      <c r="Q298" s="8">
        <f>YEAR(Table13[[#This Row],[release_date]])</f>
        <v>2020</v>
      </c>
      <c r="R298" s="8">
        <f>ROUND(Table13[[#This Row],[duration_ms]]/60000,2)</f>
        <v>3.48</v>
      </c>
      <c r="S298" s="8" t="str">
        <f>IF(Table13[[#This Row],[valence]]&gt;=0.6, "Happy", IF(Table13[[#This Row],[valence]]&gt;=0.4, "Neutral", "Sad"))</f>
        <v>Sad</v>
      </c>
      <c r="T298" s="8" t="str">
        <f>IF(Table13[[#This Row],[energy]]&gt;=0.7, "High Energy", IF(Table13[[#This Row],[energy]]&gt;=0.4, "Medium Energy", "Low Energy"))</f>
        <v>Low Energy</v>
      </c>
      <c r="U298" s="17" t="str">
        <f>IF(Table13[[#This Row],[popularity]]&gt;70, "Popular", IF(Table13[[#This Row],[popularity]]&lt;40, "Less Popular", "Mid"))</f>
        <v>Mid</v>
      </c>
    </row>
    <row r="299" spans="2:21" x14ac:dyDescent="0.3">
      <c r="B299" s="8" t="s">
        <v>338</v>
      </c>
      <c r="C299" s="8" t="s">
        <v>395</v>
      </c>
      <c r="D299" s="9">
        <v>44061</v>
      </c>
      <c r="E299" s="8">
        <v>7</v>
      </c>
      <c r="F299" s="8">
        <v>0.6166666666666667</v>
      </c>
      <c r="G299" s="8">
        <v>0.41805555555555557</v>
      </c>
      <c r="H299" s="8">
        <v>0.3430555555555555</v>
      </c>
      <c r="I299" s="8" t="s">
        <v>339</v>
      </c>
      <c r="J299" s="8">
        <v>0.62638888888888888</v>
      </c>
      <c r="K299" s="10">
        <v>-10813</v>
      </c>
      <c r="L299" s="8">
        <v>0.19236111111111109</v>
      </c>
      <c r="M299" s="10">
        <v>94955</v>
      </c>
      <c r="N299" s="8">
        <v>0.25972222222222224</v>
      </c>
      <c r="O299" s="8">
        <v>66</v>
      </c>
      <c r="P299" s="8">
        <v>208906</v>
      </c>
      <c r="Q299" s="8">
        <f>YEAR(Table13[[#This Row],[release_date]])</f>
        <v>2020</v>
      </c>
      <c r="R299" s="8">
        <f>ROUND(Table13[[#This Row],[duration_ms]]/60000,2)</f>
        <v>3.48</v>
      </c>
      <c r="S299" s="8" t="str">
        <f>IF(Table13[[#This Row],[valence]]&gt;=0.6, "Happy", IF(Table13[[#This Row],[valence]]&gt;=0.4, "Neutral", "Sad"))</f>
        <v>Sad</v>
      </c>
      <c r="T299" s="8" t="str">
        <f>IF(Table13[[#This Row],[energy]]&gt;=0.7, "High Energy", IF(Table13[[#This Row],[energy]]&gt;=0.4, "Medium Energy", "Low Energy"))</f>
        <v>Low Energy</v>
      </c>
      <c r="U299" s="17" t="str">
        <f>IF(Table13[[#This Row],[popularity]]&gt;70, "Popular", IF(Table13[[#This Row],[popularity]]&lt;40, "Less Popular", "Mid"))</f>
        <v>Mid</v>
      </c>
    </row>
    <row r="300" spans="2:21" x14ac:dyDescent="0.3">
      <c r="B300" s="8" t="s">
        <v>340</v>
      </c>
      <c r="C300" s="8" t="s">
        <v>395</v>
      </c>
      <c r="D300" s="9">
        <v>44061</v>
      </c>
      <c r="E300" s="8">
        <v>8</v>
      </c>
      <c r="F300" s="8">
        <v>0.3840277777777778</v>
      </c>
      <c r="G300" s="8">
        <v>0.26874999999999999</v>
      </c>
      <c r="H300" s="8">
        <v>0.44027777777777777</v>
      </c>
      <c r="I300" s="8" t="s">
        <v>341</v>
      </c>
      <c r="J300" s="8">
        <v>0.64652777777777781</v>
      </c>
      <c r="K300" s="10">
        <v>-9222</v>
      </c>
      <c r="L300" s="8">
        <v>0.25208333333333333</v>
      </c>
      <c r="M300" s="10">
        <v>89567</v>
      </c>
      <c r="N300" s="11">
        <v>2.9166666666666664E-2</v>
      </c>
      <c r="O300" s="8">
        <v>68</v>
      </c>
      <c r="P300" s="8">
        <v>261920</v>
      </c>
      <c r="Q300" s="8">
        <f>YEAR(Table13[[#This Row],[release_date]])</f>
        <v>2020</v>
      </c>
      <c r="R300" s="8">
        <f>ROUND(Table13[[#This Row],[duration_ms]]/60000,2)</f>
        <v>4.37</v>
      </c>
      <c r="S300" s="8" t="str">
        <f>IF(Table13[[#This Row],[valence]]&gt;=0.6, "Happy", IF(Table13[[#This Row],[valence]]&gt;=0.4, "Neutral", "Sad"))</f>
        <v>Sad</v>
      </c>
      <c r="T300" s="8" t="str">
        <f>IF(Table13[[#This Row],[energy]]&gt;=0.7, "High Energy", IF(Table13[[#This Row],[energy]]&gt;=0.4, "Medium Energy", "Low Energy"))</f>
        <v>Medium Energy</v>
      </c>
      <c r="U300" s="17" t="str">
        <f>IF(Table13[[#This Row],[popularity]]&gt;70, "Popular", IF(Table13[[#This Row],[popularity]]&lt;40, "Less Popular", "Mid"))</f>
        <v>Mid</v>
      </c>
    </row>
    <row r="301" spans="2:21" x14ac:dyDescent="0.3">
      <c r="B301" s="8" t="s">
        <v>342</v>
      </c>
      <c r="C301" s="8" t="s">
        <v>395</v>
      </c>
      <c r="D301" s="9">
        <v>44061</v>
      </c>
      <c r="E301" s="8">
        <v>9</v>
      </c>
      <c r="F301" s="8">
        <v>0.21666666666666667</v>
      </c>
      <c r="G301" s="8">
        <v>0.35486111111111113</v>
      </c>
      <c r="H301" s="8">
        <v>0.33194444444444443</v>
      </c>
      <c r="I301" s="8" t="s">
        <v>343</v>
      </c>
      <c r="J301" s="8">
        <v>0.10208333333333335</v>
      </c>
      <c r="K301" s="10">
        <v>-9837</v>
      </c>
      <c r="L301" s="8">
        <v>0.22361111111111109</v>
      </c>
      <c r="M301" s="10">
        <v>135882</v>
      </c>
      <c r="N301" s="8">
        <v>0.28333333333333333</v>
      </c>
      <c r="O301" s="8">
        <v>66</v>
      </c>
      <c r="P301" s="8">
        <v>195106</v>
      </c>
      <c r="Q301" s="8">
        <f>YEAR(Table13[[#This Row],[release_date]])</f>
        <v>2020</v>
      </c>
      <c r="R301" s="8">
        <f>ROUND(Table13[[#This Row],[duration_ms]]/60000,2)</f>
        <v>3.25</v>
      </c>
      <c r="S301" s="8" t="str">
        <f>IF(Table13[[#This Row],[valence]]&gt;=0.6, "Happy", IF(Table13[[#This Row],[valence]]&gt;=0.4, "Neutral", "Sad"))</f>
        <v>Sad</v>
      </c>
      <c r="T301" s="8" t="str">
        <f>IF(Table13[[#This Row],[energy]]&gt;=0.7, "High Energy", IF(Table13[[#This Row],[energy]]&gt;=0.4, "Medium Energy", "Low Energy"))</f>
        <v>Low Energy</v>
      </c>
      <c r="U301" s="17" t="str">
        <f>IF(Table13[[#This Row],[popularity]]&gt;70, "Popular", IF(Table13[[#This Row],[popularity]]&lt;40, "Less Popular", "Mid"))</f>
        <v>Mid</v>
      </c>
    </row>
    <row r="302" spans="2:21" x14ac:dyDescent="0.3">
      <c r="B302" s="8" t="s">
        <v>344</v>
      </c>
      <c r="C302" s="8" t="s">
        <v>395</v>
      </c>
      <c r="D302" s="9">
        <v>44061</v>
      </c>
      <c r="E302" s="8">
        <v>10</v>
      </c>
      <c r="F302" s="8">
        <v>0.59861111111111109</v>
      </c>
      <c r="G302" s="8">
        <v>0.36736111111111108</v>
      </c>
      <c r="H302" s="8">
        <v>0.21111111111111111</v>
      </c>
      <c r="I302" s="11">
        <v>0</v>
      </c>
      <c r="J302" s="8">
        <v>7.4999999999999997E-2</v>
      </c>
      <c r="K302" s="10">
        <v>-10567</v>
      </c>
      <c r="L302" s="8">
        <v>0.24722222222222223</v>
      </c>
      <c r="M302" s="14">
        <v>4.9986111111111109</v>
      </c>
      <c r="N302" s="11">
        <v>3.0555555555555555E-2</v>
      </c>
      <c r="O302" s="8">
        <v>66</v>
      </c>
      <c r="P302" s="8">
        <v>190893</v>
      </c>
      <c r="Q302" s="8">
        <f>YEAR(Table13[[#This Row],[release_date]])</f>
        <v>2020</v>
      </c>
      <c r="R302" s="8">
        <f>ROUND(Table13[[#This Row],[duration_ms]]/60000,2)</f>
        <v>3.18</v>
      </c>
      <c r="S302" s="8" t="str">
        <f>IF(Table13[[#This Row],[valence]]&gt;=0.6, "Happy", IF(Table13[[#This Row],[valence]]&gt;=0.4, "Neutral", "Sad"))</f>
        <v>Sad</v>
      </c>
      <c r="T302" s="8" t="str">
        <f>IF(Table13[[#This Row],[energy]]&gt;=0.7, "High Energy", IF(Table13[[#This Row],[energy]]&gt;=0.4, "Medium Energy", "Low Energy"))</f>
        <v>Low Energy</v>
      </c>
      <c r="U302" s="17" t="str">
        <f>IF(Table13[[#This Row],[popularity]]&gt;70, "Popular", IF(Table13[[#This Row],[popularity]]&lt;40, "Less Popular", "Mid"))</f>
        <v>Mid</v>
      </c>
    </row>
    <row r="303" spans="2:21" x14ac:dyDescent="0.3">
      <c r="B303" s="8" t="s">
        <v>345</v>
      </c>
      <c r="C303" s="8" t="s">
        <v>395</v>
      </c>
      <c r="D303" s="9">
        <v>44061</v>
      </c>
      <c r="E303" s="8">
        <v>11</v>
      </c>
      <c r="F303" s="8">
        <v>0.59652777777777777</v>
      </c>
      <c r="G303" s="8">
        <v>0.45208333333333334</v>
      </c>
      <c r="H303" s="8">
        <v>0.31875000000000003</v>
      </c>
      <c r="I303" s="8" t="s">
        <v>346</v>
      </c>
      <c r="J303" s="8">
        <v>7.2916666666666671E-2</v>
      </c>
      <c r="K303" s="10">
        <v>-11128</v>
      </c>
      <c r="L303" s="8">
        <v>0.3520833333333333</v>
      </c>
      <c r="M303" s="10">
        <v>83455</v>
      </c>
      <c r="N303" s="8">
        <v>0.31527777777777777</v>
      </c>
      <c r="O303" s="8">
        <v>66</v>
      </c>
      <c r="P303" s="8">
        <v>252880</v>
      </c>
      <c r="Q303" s="8">
        <f>YEAR(Table13[[#This Row],[release_date]])</f>
        <v>2020</v>
      </c>
      <c r="R303" s="8">
        <f>ROUND(Table13[[#This Row],[duration_ms]]/60000,2)</f>
        <v>4.21</v>
      </c>
      <c r="S303" s="8" t="str">
        <f>IF(Table13[[#This Row],[valence]]&gt;=0.6, "Happy", IF(Table13[[#This Row],[valence]]&gt;=0.4, "Neutral", "Sad"))</f>
        <v>Sad</v>
      </c>
      <c r="T303" s="8" t="str">
        <f>IF(Table13[[#This Row],[energy]]&gt;=0.7, "High Energy", IF(Table13[[#This Row],[energy]]&gt;=0.4, "Medium Energy", "Low Energy"))</f>
        <v>Low Energy</v>
      </c>
      <c r="U303" s="17" t="str">
        <f>IF(Table13[[#This Row],[popularity]]&gt;70, "Popular", IF(Table13[[#This Row],[popularity]]&lt;40, "Less Popular", "Mid"))</f>
        <v>Mid</v>
      </c>
    </row>
    <row r="304" spans="2:21" x14ac:dyDescent="0.3">
      <c r="B304" s="8" t="s">
        <v>347</v>
      </c>
      <c r="C304" s="8" t="s">
        <v>395</v>
      </c>
      <c r="D304" s="9">
        <v>44061</v>
      </c>
      <c r="E304" s="8">
        <v>12</v>
      </c>
      <c r="F304" s="8">
        <v>4.6527777777777779E-2</v>
      </c>
      <c r="G304" s="8">
        <v>0.41180555555555554</v>
      </c>
      <c r="H304" s="11">
        <v>4.8611111111111112E-3</v>
      </c>
      <c r="I304" s="8" t="s">
        <v>348</v>
      </c>
      <c r="J304" s="8">
        <v>8.0555555555555561E-2</v>
      </c>
      <c r="K304" s="10">
        <v>-9016</v>
      </c>
      <c r="L304" s="8">
        <v>0.34166666666666662</v>
      </c>
      <c r="M304" s="10">
        <v>141898</v>
      </c>
      <c r="N304" s="8">
        <v>0.31319444444444444</v>
      </c>
      <c r="O304" s="8">
        <v>64</v>
      </c>
      <c r="P304" s="8">
        <v>237266</v>
      </c>
      <c r="Q304" s="8">
        <f>YEAR(Table13[[#This Row],[release_date]])</f>
        <v>2020</v>
      </c>
      <c r="R304" s="8">
        <f>ROUND(Table13[[#This Row],[duration_ms]]/60000,2)</f>
        <v>3.95</v>
      </c>
      <c r="S304" s="8" t="str">
        <f>IF(Table13[[#This Row],[valence]]&gt;=0.6, "Happy", IF(Table13[[#This Row],[valence]]&gt;=0.4, "Neutral", "Sad"))</f>
        <v>Sad</v>
      </c>
      <c r="T304" s="8" t="str">
        <f>IF(Table13[[#This Row],[energy]]&gt;=0.7, "High Energy", IF(Table13[[#This Row],[energy]]&gt;=0.4, "Medium Energy", "Low Energy"))</f>
        <v>Low Energy</v>
      </c>
      <c r="U304" s="17" t="str">
        <f>IF(Table13[[#This Row],[popularity]]&gt;70, "Popular", IF(Table13[[#This Row],[popularity]]&lt;40, "Less Popular", "Mid"))</f>
        <v>Mid</v>
      </c>
    </row>
    <row r="305" spans="2:21" x14ac:dyDescent="0.3">
      <c r="B305" s="8" t="s">
        <v>349</v>
      </c>
      <c r="C305" s="8" t="s">
        <v>395</v>
      </c>
      <c r="D305" s="9">
        <v>44061</v>
      </c>
      <c r="E305" s="8">
        <v>13</v>
      </c>
      <c r="F305" s="8">
        <v>0.50486111111111109</v>
      </c>
      <c r="G305" s="8">
        <v>0.22013888888888888</v>
      </c>
      <c r="H305" s="8">
        <v>0.1763888888888889</v>
      </c>
      <c r="I305" s="8" t="s">
        <v>350</v>
      </c>
      <c r="J305" s="8">
        <v>0.6020833333333333</v>
      </c>
      <c r="K305" s="10">
        <v>-13679</v>
      </c>
      <c r="L305" s="8">
        <v>0.1986111111111111</v>
      </c>
      <c r="M305" s="10">
        <v>93933</v>
      </c>
      <c r="N305" s="8">
        <v>7.1527777777777773E-2</v>
      </c>
      <c r="O305" s="8">
        <v>63</v>
      </c>
      <c r="P305" s="8">
        <v>289746</v>
      </c>
      <c r="Q305" s="8">
        <f>YEAR(Table13[[#This Row],[release_date]])</f>
        <v>2020</v>
      </c>
      <c r="R305" s="8">
        <f>ROUND(Table13[[#This Row],[duration_ms]]/60000,2)</f>
        <v>4.83</v>
      </c>
      <c r="S305" s="8" t="str">
        <f>IF(Table13[[#This Row],[valence]]&gt;=0.6, "Happy", IF(Table13[[#This Row],[valence]]&gt;=0.4, "Neutral", "Sad"))</f>
        <v>Sad</v>
      </c>
      <c r="T305" s="8" t="str">
        <f>IF(Table13[[#This Row],[energy]]&gt;=0.7, "High Energy", IF(Table13[[#This Row],[energy]]&gt;=0.4, "Medium Energy", "Low Energy"))</f>
        <v>Low Energy</v>
      </c>
      <c r="U305" s="17" t="str">
        <f>IF(Table13[[#This Row],[popularity]]&gt;70, "Popular", IF(Table13[[#This Row],[popularity]]&lt;40, "Less Popular", "Mid"))</f>
        <v>Mid</v>
      </c>
    </row>
    <row r="306" spans="2:21" x14ac:dyDescent="0.3">
      <c r="B306" s="8" t="s">
        <v>351</v>
      </c>
      <c r="C306" s="8" t="s">
        <v>395</v>
      </c>
      <c r="D306" s="9">
        <v>44061</v>
      </c>
      <c r="E306" s="8">
        <v>14</v>
      </c>
      <c r="F306" s="8">
        <v>0.40902777777777777</v>
      </c>
      <c r="G306" s="8">
        <v>0.41319444444444442</v>
      </c>
      <c r="H306" s="8">
        <v>0.26111111111111113</v>
      </c>
      <c r="I306" s="11">
        <v>0</v>
      </c>
      <c r="J306" s="8">
        <v>0.68680555555555556</v>
      </c>
      <c r="K306" s="10">
        <v>-8767</v>
      </c>
      <c r="L306" s="8">
        <v>0.17777777777777778</v>
      </c>
      <c r="M306" s="10">
        <v>95946</v>
      </c>
      <c r="N306" s="8">
        <v>0.33055555555555555</v>
      </c>
      <c r="O306" s="8">
        <v>65</v>
      </c>
      <c r="P306" s="8">
        <v>294520</v>
      </c>
      <c r="Q306" s="8">
        <f>YEAR(Table13[[#This Row],[release_date]])</f>
        <v>2020</v>
      </c>
      <c r="R306" s="8">
        <f>ROUND(Table13[[#This Row],[duration_ms]]/60000,2)</f>
        <v>4.91</v>
      </c>
      <c r="S306" s="8" t="str">
        <f>IF(Table13[[#This Row],[valence]]&gt;=0.6, "Happy", IF(Table13[[#This Row],[valence]]&gt;=0.4, "Neutral", "Sad"))</f>
        <v>Sad</v>
      </c>
      <c r="T306" s="8" t="str">
        <f>IF(Table13[[#This Row],[energy]]&gt;=0.7, "High Energy", IF(Table13[[#This Row],[energy]]&gt;=0.4, "Medium Energy", "Low Energy"))</f>
        <v>Low Energy</v>
      </c>
      <c r="U306" s="17" t="str">
        <f>IF(Table13[[#This Row],[popularity]]&gt;70, "Popular", IF(Table13[[#This Row],[popularity]]&lt;40, "Less Popular", "Mid"))</f>
        <v>Mid</v>
      </c>
    </row>
    <row r="307" spans="2:21" x14ac:dyDescent="0.3">
      <c r="B307" s="8" t="s">
        <v>352</v>
      </c>
      <c r="C307" s="8" t="s">
        <v>395</v>
      </c>
      <c r="D307" s="9">
        <v>44061</v>
      </c>
      <c r="E307" s="8">
        <v>15</v>
      </c>
      <c r="F307" s="8">
        <v>0.63611111111111118</v>
      </c>
      <c r="G307" s="8">
        <v>0.44722222222222219</v>
      </c>
      <c r="H307" s="8">
        <v>0.19722222222222222</v>
      </c>
      <c r="I307" s="8" t="s">
        <v>353</v>
      </c>
      <c r="J307" s="8">
        <v>0.63124999999999998</v>
      </c>
      <c r="K307" s="10">
        <v>-12879</v>
      </c>
      <c r="L307" s="8">
        <v>0.57013888888888886</v>
      </c>
      <c r="M307" s="10">
        <v>150072</v>
      </c>
      <c r="N307" s="8">
        <v>0.22777777777777777</v>
      </c>
      <c r="O307" s="8">
        <v>63</v>
      </c>
      <c r="P307" s="8">
        <v>234000</v>
      </c>
      <c r="Q307" s="8">
        <f>YEAR(Table13[[#This Row],[release_date]])</f>
        <v>2020</v>
      </c>
      <c r="R307" s="8">
        <f>ROUND(Table13[[#This Row],[duration_ms]]/60000,2)</f>
        <v>3.9</v>
      </c>
      <c r="S307" s="8" t="str">
        <f>IF(Table13[[#This Row],[valence]]&gt;=0.6, "Happy", IF(Table13[[#This Row],[valence]]&gt;=0.4, "Neutral", "Sad"))</f>
        <v>Sad</v>
      </c>
      <c r="T307" s="8" t="str">
        <f>IF(Table13[[#This Row],[energy]]&gt;=0.7, "High Energy", IF(Table13[[#This Row],[energy]]&gt;=0.4, "Medium Energy", "Low Energy"))</f>
        <v>Low Energy</v>
      </c>
      <c r="U307" s="17" t="str">
        <f>IF(Table13[[#This Row],[popularity]]&gt;70, "Popular", IF(Table13[[#This Row],[popularity]]&lt;40, "Less Popular", "Mid"))</f>
        <v>Mid</v>
      </c>
    </row>
    <row r="308" spans="2:21" x14ac:dyDescent="0.3">
      <c r="B308" s="8" t="s">
        <v>354</v>
      </c>
      <c r="C308" s="8" t="s">
        <v>395</v>
      </c>
      <c r="D308" s="9">
        <v>44061</v>
      </c>
      <c r="E308" s="8">
        <v>16</v>
      </c>
      <c r="F308" s="8">
        <v>0.6694444444444444</v>
      </c>
      <c r="G308" s="8">
        <v>0.4694444444444445</v>
      </c>
      <c r="H308" s="8">
        <v>0.12361111111111112</v>
      </c>
      <c r="I308" s="8" t="s">
        <v>355</v>
      </c>
      <c r="J308" s="8">
        <v>9.375E-2</v>
      </c>
      <c r="K308" s="8" t="s">
        <v>356</v>
      </c>
      <c r="L308" s="8">
        <v>0.27361111111111108</v>
      </c>
      <c r="M308" s="8" t="s">
        <v>357</v>
      </c>
      <c r="N308" s="8">
        <v>0.28055555555555556</v>
      </c>
      <c r="O308" s="8">
        <v>63</v>
      </c>
      <c r="P308" s="8">
        <v>220040</v>
      </c>
      <c r="Q308" s="8">
        <f>YEAR(Table13[[#This Row],[release_date]])</f>
        <v>2020</v>
      </c>
      <c r="R308" s="8">
        <f>ROUND(Table13[[#This Row],[duration_ms]]/60000,2)</f>
        <v>3.67</v>
      </c>
      <c r="S308" s="8" t="str">
        <f>IF(Table13[[#This Row],[valence]]&gt;=0.6, "Happy", IF(Table13[[#This Row],[valence]]&gt;=0.4, "Neutral", "Sad"))</f>
        <v>Sad</v>
      </c>
      <c r="T308" s="8" t="str">
        <f>IF(Table13[[#This Row],[energy]]&gt;=0.7, "High Energy", IF(Table13[[#This Row],[energy]]&gt;=0.4, "Medium Energy", "Low Energy"))</f>
        <v>Low Energy</v>
      </c>
      <c r="U308" s="17" t="str">
        <f>IF(Table13[[#This Row],[popularity]]&gt;70, "Popular", IF(Table13[[#This Row],[popularity]]&lt;40, "Less Popular", "Mid"))</f>
        <v>Mid</v>
      </c>
    </row>
    <row r="309" spans="2:21" x14ac:dyDescent="0.3">
      <c r="B309" s="8" t="s">
        <v>358</v>
      </c>
      <c r="C309" s="8" t="s">
        <v>395</v>
      </c>
      <c r="D309" s="9">
        <v>44061</v>
      </c>
      <c r="E309" s="8">
        <v>17</v>
      </c>
      <c r="F309" s="8">
        <v>0.58472222222222225</v>
      </c>
      <c r="G309" s="8">
        <v>0.21736111111111112</v>
      </c>
      <c r="H309" s="8">
        <v>0.17916666666666667</v>
      </c>
      <c r="I309" s="8" t="s">
        <v>359</v>
      </c>
      <c r="J309" s="8">
        <v>0.65833333333333333</v>
      </c>
      <c r="K309" s="10">
        <v>-11532</v>
      </c>
      <c r="L309" s="8">
        <v>0.26597222222222222</v>
      </c>
      <c r="M309" s="10">
        <v>179947</v>
      </c>
      <c r="N309" s="8">
        <v>0.18611111111111112</v>
      </c>
      <c r="O309" s="8">
        <v>67</v>
      </c>
      <c r="P309" s="8">
        <v>211813</v>
      </c>
      <c r="Q309" s="8">
        <f>YEAR(Table13[[#This Row],[release_date]])</f>
        <v>2020</v>
      </c>
      <c r="R309" s="8">
        <f>ROUND(Table13[[#This Row],[duration_ms]]/60000,2)</f>
        <v>3.53</v>
      </c>
      <c r="S309" s="8" t="str">
        <f>IF(Table13[[#This Row],[valence]]&gt;=0.6, "Happy", IF(Table13[[#This Row],[valence]]&gt;=0.4, "Neutral", "Sad"))</f>
        <v>Sad</v>
      </c>
      <c r="T309" s="8" t="str">
        <f>IF(Table13[[#This Row],[energy]]&gt;=0.7, "High Energy", IF(Table13[[#This Row],[energy]]&gt;=0.4, "Medium Energy", "Low Energy"))</f>
        <v>Low Energy</v>
      </c>
      <c r="U309" s="17" t="str">
        <f>IF(Table13[[#This Row],[popularity]]&gt;70, "Popular", IF(Table13[[#This Row],[popularity]]&lt;40, "Less Popular", "Mid"))</f>
        <v>Mid</v>
      </c>
    </row>
    <row r="310" spans="2:21" x14ac:dyDescent="0.3">
      <c r="B310" s="8" t="s">
        <v>326</v>
      </c>
      <c r="C310" s="8" t="s">
        <v>396</v>
      </c>
      <c r="D310" s="9">
        <v>44036</v>
      </c>
      <c r="E310" s="8">
        <v>1</v>
      </c>
      <c r="F310" s="8">
        <v>0.52569444444444446</v>
      </c>
      <c r="G310" s="8">
        <v>0.5395833333333333</v>
      </c>
      <c r="H310" s="8">
        <v>0.24791666666666667</v>
      </c>
      <c r="I310" s="8" t="s">
        <v>397</v>
      </c>
      <c r="J310" s="8">
        <v>7.4999999999999997E-2</v>
      </c>
      <c r="K310" s="10">
        <v>-6942</v>
      </c>
      <c r="L310" s="8">
        <v>0.36249999999999999</v>
      </c>
      <c r="M310" s="10">
        <v>139884</v>
      </c>
      <c r="N310" s="8">
        <v>0.11944444444444445</v>
      </c>
      <c r="O310" s="8">
        <v>74</v>
      </c>
      <c r="P310" s="8">
        <v>210251</v>
      </c>
      <c r="Q310" s="8">
        <f>YEAR(Table13[[#This Row],[release_date]])</f>
        <v>2020</v>
      </c>
      <c r="R310" s="8">
        <f>ROUND(Table13[[#This Row],[duration_ms]]/60000,2)</f>
        <v>3.5</v>
      </c>
      <c r="S310" s="8" t="str">
        <f>IF(Table13[[#This Row],[valence]]&gt;=0.6, "Happy", IF(Table13[[#This Row],[valence]]&gt;=0.4, "Neutral", "Sad"))</f>
        <v>Sad</v>
      </c>
      <c r="T310" s="8" t="str">
        <f>IF(Table13[[#This Row],[energy]]&gt;=0.7, "High Energy", IF(Table13[[#This Row],[energy]]&gt;=0.4, "Medium Energy", "Low Energy"))</f>
        <v>Low Energy</v>
      </c>
      <c r="U310" s="17" t="str">
        <f>IF(Table13[[#This Row],[popularity]]&gt;70, "Popular", IF(Table13[[#This Row],[popularity]]&lt;40, "Less Popular", "Mid"))</f>
        <v>Popular</v>
      </c>
    </row>
    <row r="311" spans="2:21" x14ac:dyDescent="0.3">
      <c r="B311" s="8" t="s">
        <v>329</v>
      </c>
      <c r="C311" s="8" t="s">
        <v>396</v>
      </c>
      <c r="D311" s="9">
        <v>44036</v>
      </c>
      <c r="E311" s="8">
        <v>2</v>
      </c>
      <c r="F311" s="8">
        <v>0.37291666666666662</v>
      </c>
      <c r="G311" s="8">
        <v>0.42569444444444443</v>
      </c>
      <c r="H311" s="8">
        <v>0.40347222222222223</v>
      </c>
      <c r="I311" s="8" t="s">
        <v>398</v>
      </c>
      <c r="J311" s="11">
        <v>1.7361111111111112E-2</v>
      </c>
      <c r="K311" s="10">
        <v>-8588</v>
      </c>
      <c r="L311" s="8">
        <v>0.29444444444444445</v>
      </c>
      <c r="M311" s="10">
        <v>130033</v>
      </c>
      <c r="N311" s="8">
        <v>0.38263888888888892</v>
      </c>
      <c r="O311" s="8">
        <v>84</v>
      </c>
      <c r="P311" s="8">
        <v>239560</v>
      </c>
      <c r="Q311" s="8">
        <f>YEAR(Table13[[#This Row],[release_date]])</f>
        <v>2020</v>
      </c>
      <c r="R311" s="8">
        <f>ROUND(Table13[[#This Row],[duration_ms]]/60000,2)</f>
        <v>3.99</v>
      </c>
      <c r="S311" s="8" t="str">
        <f>IF(Table13[[#This Row],[valence]]&gt;=0.6, "Happy", IF(Table13[[#This Row],[valence]]&gt;=0.4, "Neutral", "Sad"))</f>
        <v>Sad</v>
      </c>
      <c r="T311" s="8" t="str">
        <f>IF(Table13[[#This Row],[energy]]&gt;=0.7, "High Energy", IF(Table13[[#This Row],[energy]]&gt;=0.4, "Medium Energy", "Low Energy"))</f>
        <v>Medium Energy</v>
      </c>
      <c r="U311" s="17" t="str">
        <f>IF(Table13[[#This Row],[popularity]]&gt;70, "Popular", IF(Table13[[#This Row],[popularity]]&lt;40, "Less Popular", "Mid"))</f>
        <v>Popular</v>
      </c>
    </row>
    <row r="312" spans="2:21" x14ac:dyDescent="0.3">
      <c r="B312" s="8" t="s">
        <v>331</v>
      </c>
      <c r="C312" s="8" t="s">
        <v>396</v>
      </c>
      <c r="D312" s="9">
        <v>44036</v>
      </c>
      <c r="E312" s="8">
        <v>3</v>
      </c>
      <c r="F312" s="8">
        <v>0.32430555555555557</v>
      </c>
      <c r="G312" s="8">
        <v>0.47638888888888892</v>
      </c>
      <c r="H312" s="8">
        <v>0.4597222222222222</v>
      </c>
      <c r="I312" s="8" t="s">
        <v>399</v>
      </c>
      <c r="J312" s="8">
        <v>7.5694444444444439E-2</v>
      </c>
      <c r="K312" s="10">
        <v>-8505</v>
      </c>
      <c r="L312" s="8">
        <v>0.28680555555555559</v>
      </c>
      <c r="M312" s="10">
        <v>147922</v>
      </c>
      <c r="N312" s="8">
        <v>0.49027777777777781</v>
      </c>
      <c r="O312" s="8">
        <v>70</v>
      </c>
      <c r="P312" s="8">
        <v>230999</v>
      </c>
      <c r="Q312" s="8">
        <f>YEAR(Table13[[#This Row],[release_date]])</f>
        <v>2020</v>
      </c>
      <c r="R312" s="8">
        <f>ROUND(Table13[[#This Row],[duration_ms]]/60000,2)</f>
        <v>3.85</v>
      </c>
      <c r="S312" s="8" t="str">
        <f>IF(Table13[[#This Row],[valence]]&gt;=0.6, "Happy", IF(Table13[[#This Row],[valence]]&gt;=0.4, "Neutral", "Sad"))</f>
        <v>Neutral</v>
      </c>
      <c r="T312" s="8" t="str">
        <f>IF(Table13[[#This Row],[energy]]&gt;=0.7, "High Energy", IF(Table13[[#This Row],[energy]]&gt;=0.4, "Medium Energy", "Low Energy"))</f>
        <v>Medium Energy</v>
      </c>
      <c r="U312" s="17" t="str">
        <f>IF(Table13[[#This Row],[popularity]]&gt;70, "Popular", IF(Table13[[#This Row],[popularity]]&lt;40, "Less Popular", "Mid"))</f>
        <v>Mid</v>
      </c>
    </row>
    <row r="313" spans="2:21" x14ac:dyDescent="0.3">
      <c r="B313" s="8" t="s">
        <v>333</v>
      </c>
      <c r="C313" s="8" t="s">
        <v>396</v>
      </c>
      <c r="D313" s="9">
        <v>44036</v>
      </c>
      <c r="E313" s="8">
        <v>4</v>
      </c>
      <c r="F313" s="8">
        <v>0.54027777777777775</v>
      </c>
      <c r="G313" s="8">
        <v>0.20694444444444446</v>
      </c>
      <c r="H313" s="11">
        <v>2.6388888888888889E-2</v>
      </c>
      <c r="I313" s="8" t="s">
        <v>400</v>
      </c>
      <c r="J313" s="11">
        <v>7.6388888888888886E-3</v>
      </c>
      <c r="K313" s="10">
        <v>-8426</v>
      </c>
      <c r="L313" s="8">
        <v>0.19930555555555554</v>
      </c>
      <c r="M313" s="10">
        <v>75602</v>
      </c>
      <c r="N313" s="8">
        <v>0.10555555555555556</v>
      </c>
      <c r="O313" s="8">
        <v>77</v>
      </c>
      <c r="P313" s="8">
        <v>285634</v>
      </c>
      <c r="Q313" s="8">
        <f>YEAR(Table13[[#This Row],[release_date]])</f>
        <v>2020</v>
      </c>
      <c r="R313" s="8">
        <f>ROUND(Table13[[#This Row],[duration_ms]]/60000,2)</f>
        <v>4.76</v>
      </c>
      <c r="S313" s="8" t="str">
        <f>IF(Table13[[#This Row],[valence]]&gt;=0.6, "Happy", IF(Table13[[#This Row],[valence]]&gt;=0.4, "Neutral", "Sad"))</f>
        <v>Sad</v>
      </c>
      <c r="T313" s="8" t="str">
        <f>IF(Table13[[#This Row],[energy]]&gt;=0.7, "High Energy", IF(Table13[[#This Row],[energy]]&gt;=0.4, "Medium Energy", "Low Energy"))</f>
        <v>Low Energy</v>
      </c>
      <c r="U313" s="17" t="str">
        <f>IF(Table13[[#This Row],[popularity]]&gt;70, "Popular", IF(Table13[[#This Row],[popularity]]&lt;40, "Less Popular", "Mid"))</f>
        <v>Popular</v>
      </c>
    </row>
    <row r="314" spans="2:21" x14ac:dyDescent="0.3">
      <c r="B314" s="8" t="s">
        <v>335</v>
      </c>
      <c r="C314" s="8" t="s">
        <v>396</v>
      </c>
      <c r="D314" s="9">
        <v>44036</v>
      </c>
      <c r="E314" s="8">
        <v>5</v>
      </c>
      <c r="F314" s="8">
        <v>0.55972222222222223</v>
      </c>
      <c r="G314" s="8">
        <v>0.32569444444444445</v>
      </c>
      <c r="H314" s="8">
        <v>0.18263888888888891</v>
      </c>
      <c r="I314" s="11">
        <v>0</v>
      </c>
      <c r="J314" s="8">
        <v>0.52013888888888882</v>
      </c>
      <c r="K314" s="8" t="s">
        <v>401</v>
      </c>
      <c r="L314" s="8">
        <v>0.22847222222222222</v>
      </c>
      <c r="M314" s="8" t="s">
        <v>402</v>
      </c>
      <c r="N314" s="8">
        <v>7.7777777777777779E-2</v>
      </c>
      <c r="O314" s="8">
        <v>78</v>
      </c>
      <c r="P314" s="8">
        <v>255893</v>
      </c>
      <c r="Q314" s="8">
        <f>YEAR(Table13[[#This Row],[release_date]])</f>
        <v>2020</v>
      </c>
      <c r="R314" s="8">
        <f>ROUND(Table13[[#This Row],[duration_ms]]/60000,2)</f>
        <v>4.26</v>
      </c>
      <c r="S314" s="8" t="str">
        <f>IF(Table13[[#This Row],[valence]]&gt;=0.6, "Happy", IF(Table13[[#This Row],[valence]]&gt;=0.4, "Neutral", "Sad"))</f>
        <v>Sad</v>
      </c>
      <c r="T314" s="8" t="str">
        <f>IF(Table13[[#This Row],[energy]]&gt;=0.7, "High Energy", IF(Table13[[#This Row],[energy]]&gt;=0.4, "Medium Energy", "Low Energy"))</f>
        <v>Low Energy</v>
      </c>
      <c r="U314" s="17" t="str">
        <f>IF(Table13[[#This Row],[popularity]]&gt;70, "Popular", IF(Table13[[#This Row],[popularity]]&lt;40, "Less Popular", "Mid"))</f>
        <v>Popular</v>
      </c>
    </row>
    <row r="315" spans="2:21" x14ac:dyDescent="0.3">
      <c r="B315" s="8" t="s">
        <v>336</v>
      </c>
      <c r="C315" s="8" t="s">
        <v>396</v>
      </c>
      <c r="D315" s="9">
        <v>44036</v>
      </c>
      <c r="E315" s="8">
        <v>6</v>
      </c>
      <c r="F315" s="8">
        <v>0.4770833333333333</v>
      </c>
      <c r="G315" s="8">
        <v>0.3840277777777778</v>
      </c>
      <c r="H315" s="8">
        <v>0.28680555555555559</v>
      </c>
      <c r="I315" s="8" t="s">
        <v>403</v>
      </c>
      <c r="J315" s="8">
        <v>0.41250000000000003</v>
      </c>
      <c r="K315" s="10">
        <v>-10037</v>
      </c>
      <c r="L315" s="8">
        <v>0.23194444444444443</v>
      </c>
      <c r="M315" s="10">
        <v>110107</v>
      </c>
      <c r="N315" s="8">
        <v>0.26319444444444445</v>
      </c>
      <c r="O315" s="8">
        <v>73</v>
      </c>
      <c r="P315" s="8">
        <v>208977</v>
      </c>
      <c r="Q315" s="8">
        <f>YEAR(Table13[[#This Row],[release_date]])</f>
        <v>2020</v>
      </c>
      <c r="R315" s="8">
        <f>ROUND(Table13[[#This Row],[duration_ms]]/60000,2)</f>
        <v>3.48</v>
      </c>
      <c r="S315" s="8" t="str">
        <f>IF(Table13[[#This Row],[valence]]&gt;=0.6, "Happy", IF(Table13[[#This Row],[valence]]&gt;=0.4, "Neutral", "Sad"))</f>
        <v>Sad</v>
      </c>
      <c r="T315" s="8" t="str">
        <f>IF(Table13[[#This Row],[energy]]&gt;=0.7, "High Energy", IF(Table13[[#This Row],[energy]]&gt;=0.4, "Medium Energy", "Low Energy"))</f>
        <v>Low Energy</v>
      </c>
      <c r="U315" s="17" t="str">
        <f>IF(Table13[[#This Row],[popularity]]&gt;70, "Popular", IF(Table13[[#This Row],[popularity]]&lt;40, "Less Popular", "Mid"))</f>
        <v>Popular</v>
      </c>
    </row>
    <row r="316" spans="2:21" x14ac:dyDescent="0.3">
      <c r="B316" s="8" t="s">
        <v>338</v>
      </c>
      <c r="C316" s="8" t="s">
        <v>396</v>
      </c>
      <c r="D316" s="9">
        <v>44036</v>
      </c>
      <c r="E316" s="8">
        <v>7</v>
      </c>
      <c r="F316" s="11">
        <v>6.2499999999999995E-3</v>
      </c>
      <c r="G316" s="8">
        <v>0.41388888888888892</v>
      </c>
      <c r="H316" s="8">
        <v>0.33888888888888885</v>
      </c>
      <c r="I316" s="8" t="s">
        <v>404</v>
      </c>
      <c r="J316" s="8" t="s">
        <v>405</v>
      </c>
      <c r="K316" s="10">
        <v>-10769</v>
      </c>
      <c r="L316" s="8">
        <v>0.19027777777777777</v>
      </c>
      <c r="M316" s="10">
        <v>94922</v>
      </c>
      <c r="N316" s="8">
        <v>0.28819444444444448</v>
      </c>
      <c r="O316" s="8">
        <v>70</v>
      </c>
      <c r="P316" s="8">
        <v>208906</v>
      </c>
      <c r="Q316" s="8">
        <f>YEAR(Table13[[#This Row],[release_date]])</f>
        <v>2020</v>
      </c>
      <c r="R316" s="8">
        <f>ROUND(Table13[[#This Row],[duration_ms]]/60000,2)</f>
        <v>3.48</v>
      </c>
      <c r="S316" s="8" t="str">
        <f>IF(Table13[[#This Row],[valence]]&gt;=0.6, "Happy", IF(Table13[[#This Row],[valence]]&gt;=0.4, "Neutral", "Sad"))</f>
        <v>Sad</v>
      </c>
      <c r="T316" s="8" t="str">
        <f>IF(Table13[[#This Row],[energy]]&gt;=0.7, "High Energy", IF(Table13[[#This Row],[energy]]&gt;=0.4, "Medium Energy", "Low Energy"))</f>
        <v>Low Energy</v>
      </c>
      <c r="U316" s="17" t="str">
        <f>IF(Table13[[#This Row],[popularity]]&gt;70, "Popular", IF(Table13[[#This Row],[popularity]]&lt;40, "Less Popular", "Mid"))</f>
        <v>Mid</v>
      </c>
    </row>
    <row r="317" spans="2:21" x14ac:dyDescent="0.3">
      <c r="B317" s="8" t="s">
        <v>340</v>
      </c>
      <c r="C317" s="8" t="s">
        <v>396</v>
      </c>
      <c r="D317" s="9">
        <v>44036</v>
      </c>
      <c r="E317" s="8">
        <v>8</v>
      </c>
      <c r="F317" s="8">
        <v>0.37361111111111112</v>
      </c>
      <c r="G317" s="8">
        <v>0.36944444444444446</v>
      </c>
      <c r="H317" s="8">
        <v>0.43263888888888885</v>
      </c>
      <c r="I317" s="8" t="s">
        <v>406</v>
      </c>
      <c r="J317" s="8">
        <v>0.64236111111111105</v>
      </c>
      <c r="K317" s="10">
        <v>-9208</v>
      </c>
      <c r="L317" s="8">
        <v>0.2298611111111111</v>
      </c>
      <c r="M317" s="10">
        <v>89937</v>
      </c>
      <c r="N317" s="8">
        <v>0.27986111111111112</v>
      </c>
      <c r="O317" s="8">
        <v>84</v>
      </c>
      <c r="P317" s="8">
        <v>261922</v>
      </c>
      <c r="Q317" s="8">
        <f>YEAR(Table13[[#This Row],[release_date]])</f>
        <v>2020</v>
      </c>
      <c r="R317" s="8">
        <f>ROUND(Table13[[#This Row],[duration_ms]]/60000,2)</f>
        <v>4.37</v>
      </c>
      <c r="S317" s="8" t="str">
        <f>IF(Table13[[#This Row],[valence]]&gt;=0.6, "Happy", IF(Table13[[#This Row],[valence]]&gt;=0.4, "Neutral", "Sad"))</f>
        <v>Sad</v>
      </c>
      <c r="T317" s="8" t="str">
        <f>IF(Table13[[#This Row],[energy]]&gt;=0.7, "High Energy", IF(Table13[[#This Row],[energy]]&gt;=0.4, "Medium Energy", "Low Energy"))</f>
        <v>Medium Energy</v>
      </c>
      <c r="U317" s="17" t="str">
        <f>IF(Table13[[#This Row],[popularity]]&gt;70, "Popular", IF(Table13[[#This Row],[popularity]]&lt;40, "Less Popular", "Mid"))</f>
        <v>Popular</v>
      </c>
    </row>
    <row r="318" spans="2:21" x14ac:dyDescent="0.3">
      <c r="B318" s="8" t="s">
        <v>342</v>
      </c>
      <c r="C318" s="8" t="s">
        <v>396</v>
      </c>
      <c r="D318" s="9">
        <v>44036</v>
      </c>
      <c r="E318" s="8">
        <v>9</v>
      </c>
      <c r="F318" s="8">
        <v>0.21805555555555556</v>
      </c>
      <c r="G318" s="8">
        <v>0.3576388888888889</v>
      </c>
      <c r="H318" s="8">
        <v>0.33055555555555555</v>
      </c>
      <c r="I318" s="8" t="s">
        <v>407</v>
      </c>
      <c r="J318" s="8">
        <v>0.11875000000000001</v>
      </c>
      <c r="K318" s="10">
        <v>-9843</v>
      </c>
      <c r="L318" s="8">
        <v>0.22777777777777777</v>
      </c>
      <c r="M318" s="10">
        <v>135886</v>
      </c>
      <c r="N318" s="8">
        <v>0.28611111111111109</v>
      </c>
      <c r="O318" s="8">
        <v>73</v>
      </c>
      <c r="P318" s="8">
        <v>195097</v>
      </c>
      <c r="Q318" s="8">
        <f>YEAR(Table13[[#This Row],[release_date]])</f>
        <v>2020</v>
      </c>
      <c r="R318" s="8">
        <f>ROUND(Table13[[#This Row],[duration_ms]]/60000,2)</f>
        <v>3.25</v>
      </c>
      <c r="S318" s="8" t="str">
        <f>IF(Table13[[#This Row],[valence]]&gt;=0.6, "Happy", IF(Table13[[#This Row],[valence]]&gt;=0.4, "Neutral", "Sad"))</f>
        <v>Sad</v>
      </c>
      <c r="T318" s="8" t="str">
        <f>IF(Table13[[#This Row],[energy]]&gt;=0.7, "High Energy", IF(Table13[[#This Row],[energy]]&gt;=0.4, "Medium Energy", "Low Energy"))</f>
        <v>Low Energy</v>
      </c>
      <c r="U318" s="17" t="str">
        <f>IF(Table13[[#This Row],[popularity]]&gt;70, "Popular", IF(Table13[[#This Row],[popularity]]&lt;40, "Less Popular", "Mid"))</f>
        <v>Popular</v>
      </c>
    </row>
    <row r="319" spans="2:21" x14ac:dyDescent="0.3">
      <c r="B319" s="8" t="s">
        <v>344</v>
      </c>
      <c r="C319" s="8" t="s">
        <v>396</v>
      </c>
      <c r="D319" s="9">
        <v>44036</v>
      </c>
      <c r="E319" s="8">
        <v>10</v>
      </c>
      <c r="F319" s="8">
        <v>0.6118055555555556</v>
      </c>
      <c r="G319" s="8">
        <v>0.38819444444444445</v>
      </c>
      <c r="H319" s="11">
        <v>2.1527777777777781E-2</v>
      </c>
      <c r="I319" s="11">
        <v>0</v>
      </c>
      <c r="J319" s="8">
        <v>7.3611111111111113E-2</v>
      </c>
      <c r="K319" s="10">
        <v>-10445</v>
      </c>
      <c r="L319" s="8">
        <v>0.23472222222222225</v>
      </c>
      <c r="M319" s="10">
        <v>119845</v>
      </c>
      <c r="N319" s="11">
        <v>3.1944444444444449E-2</v>
      </c>
      <c r="O319" s="8">
        <v>77</v>
      </c>
      <c r="P319" s="8">
        <v>190898</v>
      </c>
      <c r="Q319" s="8">
        <f>YEAR(Table13[[#This Row],[release_date]])</f>
        <v>2020</v>
      </c>
      <c r="R319" s="8">
        <f>ROUND(Table13[[#This Row],[duration_ms]]/60000,2)</f>
        <v>3.18</v>
      </c>
      <c r="S319" s="8" t="str">
        <f>IF(Table13[[#This Row],[valence]]&gt;=0.6, "Happy", IF(Table13[[#This Row],[valence]]&gt;=0.4, "Neutral", "Sad"))</f>
        <v>Sad</v>
      </c>
      <c r="T319" s="8" t="str">
        <f>IF(Table13[[#This Row],[energy]]&gt;=0.7, "High Energy", IF(Table13[[#This Row],[energy]]&gt;=0.4, "Medium Energy", "Low Energy"))</f>
        <v>Low Energy</v>
      </c>
      <c r="U319" s="17" t="str">
        <f>IF(Table13[[#This Row],[popularity]]&gt;70, "Popular", IF(Table13[[#This Row],[popularity]]&lt;40, "Less Popular", "Mid"))</f>
        <v>Popular</v>
      </c>
    </row>
    <row r="320" spans="2:21" x14ac:dyDescent="0.3">
      <c r="B320" s="8" t="s">
        <v>345</v>
      </c>
      <c r="C320" s="8" t="s">
        <v>396</v>
      </c>
      <c r="D320" s="9">
        <v>44036</v>
      </c>
      <c r="E320" s="8">
        <v>11</v>
      </c>
      <c r="F320" s="8">
        <v>0.58194444444444449</v>
      </c>
      <c r="G320" s="8">
        <v>0.45347222222222222</v>
      </c>
      <c r="H320" s="8">
        <v>0.31388888888888888</v>
      </c>
      <c r="I320" s="8" t="s">
        <v>408</v>
      </c>
      <c r="J320" s="8">
        <v>7.4999999999999997E-2</v>
      </c>
      <c r="K320" s="10">
        <v>-11143</v>
      </c>
      <c r="L320" s="8" t="s">
        <v>409</v>
      </c>
      <c r="M320" s="10">
        <v>83433</v>
      </c>
      <c r="N320" s="11">
        <v>3.125E-2</v>
      </c>
      <c r="O320" s="8">
        <v>73</v>
      </c>
      <c r="P320" s="8">
        <v>252880</v>
      </c>
      <c r="Q320" s="8">
        <f>YEAR(Table13[[#This Row],[release_date]])</f>
        <v>2020</v>
      </c>
      <c r="R320" s="8">
        <f>ROUND(Table13[[#This Row],[duration_ms]]/60000,2)</f>
        <v>4.21</v>
      </c>
      <c r="S320" s="8" t="str">
        <f>IF(Table13[[#This Row],[valence]]&gt;=0.6, "Happy", IF(Table13[[#This Row],[valence]]&gt;=0.4, "Neutral", "Sad"))</f>
        <v>Sad</v>
      </c>
      <c r="T320" s="8" t="str">
        <f>IF(Table13[[#This Row],[energy]]&gt;=0.7, "High Energy", IF(Table13[[#This Row],[energy]]&gt;=0.4, "Medium Energy", "Low Energy"))</f>
        <v>Low Energy</v>
      </c>
      <c r="U320" s="17" t="str">
        <f>IF(Table13[[#This Row],[popularity]]&gt;70, "Popular", IF(Table13[[#This Row],[popularity]]&lt;40, "Less Popular", "Mid"))</f>
        <v>Popular</v>
      </c>
    </row>
    <row r="321" spans="2:21" x14ac:dyDescent="0.3">
      <c r="B321" s="8" t="s">
        <v>347</v>
      </c>
      <c r="C321" s="8" t="s">
        <v>396</v>
      </c>
      <c r="D321" s="9">
        <v>44036</v>
      </c>
      <c r="E321" s="8">
        <v>12</v>
      </c>
      <c r="F321" s="8">
        <v>0.4548611111111111</v>
      </c>
      <c r="G321" s="8">
        <v>0.41111111111111115</v>
      </c>
      <c r="H321" s="8">
        <v>0.48541666666666666</v>
      </c>
      <c r="I321" s="8" t="s">
        <v>410</v>
      </c>
      <c r="J321" s="8">
        <v>7.9166666666666663E-2</v>
      </c>
      <c r="K321" s="10">
        <v>-8995</v>
      </c>
      <c r="L321" s="8">
        <v>0.32708333333333334</v>
      </c>
      <c r="M321" s="10">
        <v>141916</v>
      </c>
      <c r="N321" s="8">
        <v>0.35138888888888892</v>
      </c>
      <c r="O321" s="8">
        <v>65</v>
      </c>
      <c r="P321" s="8">
        <v>237258</v>
      </c>
      <c r="Q321" s="8">
        <f>YEAR(Table13[[#This Row],[release_date]])</f>
        <v>2020</v>
      </c>
      <c r="R321" s="8">
        <f>ROUND(Table13[[#This Row],[duration_ms]]/60000,2)</f>
        <v>3.95</v>
      </c>
      <c r="S321" s="8" t="str">
        <f>IF(Table13[[#This Row],[valence]]&gt;=0.6, "Happy", IF(Table13[[#This Row],[valence]]&gt;=0.4, "Neutral", "Sad"))</f>
        <v>Sad</v>
      </c>
      <c r="T321" s="8" t="str">
        <f>IF(Table13[[#This Row],[energy]]&gt;=0.7, "High Energy", IF(Table13[[#This Row],[energy]]&gt;=0.4, "Medium Energy", "Low Energy"))</f>
        <v>Medium Energy</v>
      </c>
      <c r="U321" s="17" t="str">
        <f>IF(Table13[[#This Row],[popularity]]&gt;70, "Popular", IF(Table13[[#This Row],[popularity]]&lt;40, "Less Popular", "Mid"))</f>
        <v>Mid</v>
      </c>
    </row>
    <row r="322" spans="2:21" x14ac:dyDescent="0.3">
      <c r="B322" s="8" t="s">
        <v>349</v>
      </c>
      <c r="C322" s="8" t="s">
        <v>396</v>
      </c>
      <c r="D322" s="9">
        <v>44036</v>
      </c>
      <c r="E322" s="8">
        <v>13</v>
      </c>
      <c r="F322" s="8">
        <v>0.50763888888888886</v>
      </c>
      <c r="G322" s="8">
        <v>0.12152777777777778</v>
      </c>
      <c r="H322" s="8">
        <v>0.18541666666666667</v>
      </c>
      <c r="I322" s="8" t="s">
        <v>411</v>
      </c>
      <c r="J322" s="8">
        <v>0.59583333333333333</v>
      </c>
      <c r="K322" s="8" t="s">
        <v>412</v>
      </c>
      <c r="L322" s="8">
        <v>0.20972222222222223</v>
      </c>
      <c r="M322" s="10">
        <v>94203</v>
      </c>
      <c r="N322" s="8">
        <v>7.3611111111111113E-2</v>
      </c>
      <c r="O322" s="8">
        <v>64</v>
      </c>
      <c r="P322" s="8">
        <v>289749</v>
      </c>
      <c r="Q322" s="8">
        <f>YEAR(Table13[[#This Row],[release_date]])</f>
        <v>2020</v>
      </c>
      <c r="R322" s="8">
        <f>ROUND(Table13[[#This Row],[duration_ms]]/60000,2)</f>
        <v>4.83</v>
      </c>
      <c r="S322" s="8" t="str">
        <f>IF(Table13[[#This Row],[valence]]&gt;=0.6, "Happy", IF(Table13[[#This Row],[valence]]&gt;=0.4, "Neutral", "Sad"))</f>
        <v>Sad</v>
      </c>
      <c r="T322" s="8" t="str">
        <f>IF(Table13[[#This Row],[energy]]&gt;=0.7, "High Energy", IF(Table13[[#This Row],[energy]]&gt;=0.4, "Medium Energy", "Low Energy"))</f>
        <v>Low Energy</v>
      </c>
      <c r="U322" s="17" t="str">
        <f>IF(Table13[[#This Row],[popularity]]&gt;70, "Popular", IF(Table13[[#This Row],[popularity]]&lt;40, "Less Popular", "Mid"))</f>
        <v>Mid</v>
      </c>
    </row>
    <row r="323" spans="2:21" x14ac:dyDescent="0.3">
      <c r="B323" s="8" t="s">
        <v>351</v>
      </c>
      <c r="C323" s="8" t="s">
        <v>396</v>
      </c>
      <c r="D323" s="9">
        <v>44036</v>
      </c>
      <c r="E323" s="8">
        <v>14</v>
      </c>
      <c r="F323" s="11">
        <v>4.1666666666666666E-3</v>
      </c>
      <c r="G323" s="8">
        <v>0.41180555555555554</v>
      </c>
      <c r="H323" s="8">
        <v>0.26180555555555557</v>
      </c>
      <c r="I323" s="11">
        <v>0</v>
      </c>
      <c r="J323" s="8">
        <v>0.6777777777777777</v>
      </c>
      <c r="K323" s="10">
        <v>-8761</v>
      </c>
      <c r="L323" s="8">
        <v>0.17569444444444446</v>
      </c>
      <c r="M323" s="10">
        <v>95939</v>
      </c>
      <c r="N323" s="8">
        <v>0.34861111111111115</v>
      </c>
      <c r="O323" s="8">
        <v>73</v>
      </c>
      <c r="P323" s="8">
        <v>294521</v>
      </c>
      <c r="Q323" s="8">
        <f>YEAR(Table13[[#This Row],[release_date]])</f>
        <v>2020</v>
      </c>
      <c r="R323" s="8">
        <f>ROUND(Table13[[#This Row],[duration_ms]]/60000,2)</f>
        <v>4.91</v>
      </c>
      <c r="S323" s="8" t="str">
        <f>IF(Table13[[#This Row],[valence]]&gt;=0.6, "Happy", IF(Table13[[#This Row],[valence]]&gt;=0.4, "Neutral", "Sad"))</f>
        <v>Sad</v>
      </c>
      <c r="T323" s="8" t="str">
        <f>IF(Table13[[#This Row],[energy]]&gt;=0.7, "High Energy", IF(Table13[[#This Row],[energy]]&gt;=0.4, "Medium Energy", "Low Energy"))</f>
        <v>Low Energy</v>
      </c>
      <c r="U323" s="17" t="str">
        <f>IF(Table13[[#This Row],[popularity]]&gt;70, "Popular", IF(Table13[[#This Row],[popularity]]&lt;40, "Less Popular", "Mid"))</f>
        <v>Popular</v>
      </c>
    </row>
    <row r="324" spans="2:21" x14ac:dyDescent="0.3">
      <c r="B324" s="8" t="s">
        <v>352</v>
      </c>
      <c r="C324" s="8" t="s">
        <v>396</v>
      </c>
      <c r="D324" s="9">
        <v>44036</v>
      </c>
      <c r="E324" s="8">
        <v>15</v>
      </c>
      <c r="F324" s="8">
        <v>0.63750000000000007</v>
      </c>
      <c r="G324" s="8">
        <v>0.44930555555555557</v>
      </c>
      <c r="H324" s="8">
        <v>0.18888888888888888</v>
      </c>
      <c r="I324" s="8" t="s">
        <v>413</v>
      </c>
      <c r="J324" s="8">
        <v>0.63750000000000007</v>
      </c>
      <c r="K324" s="10">
        <v>-12906</v>
      </c>
      <c r="L324" s="8">
        <v>0.63611111111111118</v>
      </c>
      <c r="M324" s="10">
        <v>150044</v>
      </c>
      <c r="N324" s="8">
        <v>0.23541666666666669</v>
      </c>
      <c r="O324" s="8">
        <v>65</v>
      </c>
      <c r="P324" s="8">
        <v>234000</v>
      </c>
      <c r="Q324" s="8">
        <f>YEAR(Table13[[#This Row],[release_date]])</f>
        <v>2020</v>
      </c>
      <c r="R324" s="8">
        <f>ROUND(Table13[[#This Row],[duration_ms]]/60000,2)</f>
        <v>3.9</v>
      </c>
      <c r="S324" s="8" t="str">
        <f>IF(Table13[[#This Row],[valence]]&gt;=0.6, "Happy", IF(Table13[[#This Row],[valence]]&gt;=0.4, "Neutral", "Sad"))</f>
        <v>Sad</v>
      </c>
      <c r="T324" s="8" t="str">
        <f>IF(Table13[[#This Row],[energy]]&gt;=0.7, "High Energy", IF(Table13[[#This Row],[energy]]&gt;=0.4, "Medium Energy", "Low Energy"))</f>
        <v>Low Energy</v>
      </c>
      <c r="U324" s="17" t="str">
        <f>IF(Table13[[#This Row],[popularity]]&gt;70, "Popular", IF(Table13[[#This Row],[popularity]]&lt;40, "Less Popular", "Mid"))</f>
        <v>Mid</v>
      </c>
    </row>
    <row r="325" spans="2:21" x14ac:dyDescent="0.3">
      <c r="B325" s="8" t="s">
        <v>354</v>
      </c>
      <c r="C325" s="8" t="s">
        <v>396</v>
      </c>
      <c r="D325" s="9">
        <v>44036</v>
      </c>
      <c r="E325" s="8">
        <v>16</v>
      </c>
      <c r="F325" s="8">
        <v>0.67083333333333339</v>
      </c>
      <c r="G325" s="8">
        <v>0.4597222222222222</v>
      </c>
      <c r="H325" s="8">
        <v>0.12569444444444444</v>
      </c>
      <c r="I325" s="8" t="s">
        <v>414</v>
      </c>
      <c r="J325" s="8">
        <v>9.2361111111111116E-2</v>
      </c>
      <c r="K325" s="10">
        <v>-15065</v>
      </c>
      <c r="L325" s="8">
        <v>0.28819444444444448</v>
      </c>
      <c r="M325" s="10">
        <v>118819</v>
      </c>
      <c r="N325" s="8">
        <v>0.29791666666666666</v>
      </c>
      <c r="O325" s="8">
        <v>65</v>
      </c>
      <c r="P325" s="8">
        <v>220042</v>
      </c>
      <c r="Q325" s="8">
        <f>YEAR(Table13[[#This Row],[release_date]])</f>
        <v>2020</v>
      </c>
      <c r="R325" s="8">
        <f>ROUND(Table13[[#This Row],[duration_ms]]/60000,2)</f>
        <v>3.67</v>
      </c>
      <c r="S325" s="8" t="str">
        <f>IF(Table13[[#This Row],[valence]]&gt;=0.6, "Happy", IF(Table13[[#This Row],[valence]]&gt;=0.4, "Neutral", "Sad"))</f>
        <v>Sad</v>
      </c>
      <c r="T325" s="8" t="str">
        <f>IF(Table13[[#This Row],[energy]]&gt;=0.7, "High Energy", IF(Table13[[#This Row],[energy]]&gt;=0.4, "Medium Energy", "Low Energy"))</f>
        <v>Low Energy</v>
      </c>
      <c r="U325" s="17" t="str">
        <f>IF(Table13[[#This Row],[popularity]]&gt;70, "Popular", IF(Table13[[#This Row],[popularity]]&lt;40, "Less Popular", "Mid"))</f>
        <v>Mid</v>
      </c>
    </row>
    <row r="326" spans="2:21" x14ac:dyDescent="0.3">
      <c r="B326" s="8" t="s">
        <v>415</v>
      </c>
      <c r="C326" s="8" t="s">
        <v>416</v>
      </c>
      <c r="D326" s="9">
        <v>43700</v>
      </c>
      <c r="E326" s="8">
        <v>1</v>
      </c>
      <c r="F326" s="8">
        <v>0.20694444444444446</v>
      </c>
      <c r="G326" s="8">
        <v>0.46111111111111108</v>
      </c>
      <c r="H326" s="8">
        <v>0.21944444444444444</v>
      </c>
      <c r="I326" s="8" t="s">
        <v>417</v>
      </c>
      <c r="J326" s="8">
        <v>0.56388888888888888</v>
      </c>
      <c r="K326" s="10">
        <v>-10345</v>
      </c>
      <c r="L326" s="8">
        <v>0.36041666666666666</v>
      </c>
      <c r="M326" s="10">
        <v>92875</v>
      </c>
      <c r="N326" s="8">
        <v>0.3756944444444445</v>
      </c>
      <c r="O326" s="8">
        <v>71</v>
      </c>
      <c r="P326" s="8">
        <v>170640</v>
      </c>
      <c r="Q326" s="8">
        <f>YEAR(Table13[[#This Row],[release_date]])</f>
        <v>2019</v>
      </c>
      <c r="R326" s="8">
        <f>ROUND(Table13[[#This Row],[duration_ms]]/60000,2)</f>
        <v>2.84</v>
      </c>
      <c r="S326" s="8" t="str">
        <f>IF(Table13[[#This Row],[valence]]&gt;=0.6, "Happy", IF(Table13[[#This Row],[valence]]&gt;=0.4, "Neutral", "Sad"))</f>
        <v>Sad</v>
      </c>
      <c r="T326" s="8" t="str">
        <f>IF(Table13[[#This Row],[energy]]&gt;=0.7, "High Energy", IF(Table13[[#This Row],[energy]]&gt;=0.4, "Medium Energy", "Low Energy"))</f>
        <v>Low Energy</v>
      </c>
      <c r="U326" s="17" t="str">
        <f>IF(Table13[[#This Row],[popularity]]&gt;70, "Popular", IF(Table13[[#This Row],[popularity]]&lt;40, "Less Popular", "Mid"))</f>
        <v>Popular</v>
      </c>
    </row>
    <row r="327" spans="2:21" x14ac:dyDescent="0.3">
      <c r="B327" s="8" t="s">
        <v>418</v>
      </c>
      <c r="C327" s="8" t="s">
        <v>416</v>
      </c>
      <c r="D327" s="9">
        <v>43700</v>
      </c>
      <c r="E327" s="8">
        <v>2</v>
      </c>
      <c r="F327" s="8">
        <v>8.1250000000000003E-2</v>
      </c>
      <c r="G327" s="8">
        <v>0.3833333333333333</v>
      </c>
      <c r="H327" s="8">
        <v>0.48749999999999999</v>
      </c>
      <c r="I327" s="8" t="s">
        <v>419</v>
      </c>
      <c r="J327" s="8">
        <v>7.2916666666666671E-2</v>
      </c>
      <c r="K327" s="10">
        <v>-5707</v>
      </c>
      <c r="L327" s="8">
        <v>0.10902777777777778</v>
      </c>
      <c r="M327" s="10">
        <v>169994</v>
      </c>
      <c r="N327" s="8">
        <v>0.39166666666666666</v>
      </c>
      <c r="O327" s="8">
        <v>93</v>
      </c>
      <c r="P327" s="8">
        <v>178426</v>
      </c>
      <c r="Q327" s="8">
        <f>YEAR(Table13[[#This Row],[release_date]])</f>
        <v>2019</v>
      </c>
      <c r="R327" s="8">
        <f>ROUND(Table13[[#This Row],[duration_ms]]/60000,2)</f>
        <v>2.97</v>
      </c>
      <c r="S327" s="8" t="str">
        <f>IF(Table13[[#This Row],[valence]]&gt;=0.6, "Happy", IF(Table13[[#This Row],[valence]]&gt;=0.4, "Neutral", "Sad"))</f>
        <v>Sad</v>
      </c>
      <c r="T327" s="8" t="str">
        <f>IF(Table13[[#This Row],[energy]]&gt;=0.7, "High Energy", IF(Table13[[#This Row],[energy]]&gt;=0.4, "Medium Energy", "Low Energy"))</f>
        <v>Medium Energy</v>
      </c>
      <c r="U327" s="17" t="str">
        <f>IF(Table13[[#This Row],[popularity]]&gt;70, "Popular", IF(Table13[[#This Row],[popularity]]&lt;40, "Less Popular", "Mid"))</f>
        <v>Popular</v>
      </c>
    </row>
    <row r="328" spans="2:21" x14ac:dyDescent="0.3">
      <c r="B328" s="8" t="s">
        <v>416</v>
      </c>
      <c r="C328" s="8" t="s">
        <v>416</v>
      </c>
      <c r="D328" s="9">
        <v>43700</v>
      </c>
      <c r="E328" s="8">
        <v>3</v>
      </c>
      <c r="F328" s="8">
        <v>0.34166666666666662</v>
      </c>
      <c r="G328" s="8">
        <v>0.24930555555555556</v>
      </c>
      <c r="H328" s="8">
        <v>0.37708333333333338</v>
      </c>
      <c r="I328" s="8" t="s">
        <v>420</v>
      </c>
      <c r="J328" s="8">
        <v>8.1944444444444445E-2</v>
      </c>
      <c r="K328" s="10">
        <v>-7582</v>
      </c>
      <c r="L328" s="8">
        <v>0.6381944444444444</v>
      </c>
      <c r="M328" s="10">
        <v>68534</v>
      </c>
      <c r="N328" s="8">
        <v>0.31458333333333333</v>
      </c>
      <c r="O328" s="8">
        <v>86</v>
      </c>
      <c r="P328" s="8">
        <v>221306</v>
      </c>
      <c r="Q328" s="8">
        <f>YEAR(Table13[[#This Row],[release_date]])</f>
        <v>2019</v>
      </c>
      <c r="R328" s="8">
        <f>ROUND(Table13[[#This Row],[duration_ms]]/60000,2)</f>
        <v>3.69</v>
      </c>
      <c r="S328" s="8" t="str">
        <f>IF(Table13[[#This Row],[valence]]&gt;=0.6, "Happy", IF(Table13[[#This Row],[valence]]&gt;=0.4, "Neutral", "Sad"))</f>
        <v>Sad</v>
      </c>
      <c r="T328" s="8" t="str">
        <f>IF(Table13[[#This Row],[energy]]&gt;=0.7, "High Energy", IF(Table13[[#This Row],[energy]]&gt;=0.4, "Medium Energy", "Low Energy"))</f>
        <v>Low Energy</v>
      </c>
      <c r="U328" s="17" t="str">
        <f>IF(Table13[[#This Row],[popularity]]&gt;70, "Popular", IF(Table13[[#This Row],[popularity]]&lt;40, "Less Popular", "Mid"))</f>
        <v>Popular</v>
      </c>
    </row>
    <row r="329" spans="2:21" x14ac:dyDescent="0.3">
      <c r="B329" s="8" t="s">
        <v>421</v>
      </c>
      <c r="C329" s="8" t="s">
        <v>416</v>
      </c>
      <c r="D329" s="9">
        <v>43700</v>
      </c>
      <c r="E329" s="8">
        <v>4</v>
      </c>
      <c r="F329" s="8">
        <v>0.53263888888888888</v>
      </c>
      <c r="G329" s="8">
        <v>0.5395833333333333</v>
      </c>
      <c r="H329" s="8">
        <v>0.45694444444444443</v>
      </c>
      <c r="I329" s="11">
        <v>0</v>
      </c>
      <c r="J329" s="8">
        <v>0.62569444444444444</v>
      </c>
      <c r="K329" s="10">
        <v>-5191</v>
      </c>
      <c r="L329" s="8" t="s">
        <v>422</v>
      </c>
      <c r="M329" s="10">
        <v>110048</v>
      </c>
      <c r="N329" s="8">
        <v>0.43958333333333338</v>
      </c>
      <c r="O329" s="8">
        <v>81</v>
      </c>
      <c r="P329" s="8">
        <v>190360</v>
      </c>
      <c r="Q329" s="8">
        <f>YEAR(Table13[[#This Row],[release_date]])</f>
        <v>2019</v>
      </c>
      <c r="R329" s="8">
        <f>ROUND(Table13[[#This Row],[duration_ms]]/60000,2)</f>
        <v>3.17</v>
      </c>
      <c r="S329" s="8" t="str">
        <f>IF(Table13[[#This Row],[valence]]&gt;=0.6, "Happy", IF(Table13[[#This Row],[valence]]&gt;=0.4, "Neutral", "Sad"))</f>
        <v>Neutral</v>
      </c>
      <c r="T329" s="8" t="str">
        <f>IF(Table13[[#This Row],[energy]]&gt;=0.7, "High Energy", IF(Table13[[#This Row],[energy]]&gt;=0.4, "Medium Energy", "Low Energy"))</f>
        <v>Medium Energy</v>
      </c>
      <c r="U329" s="17" t="str">
        <f>IF(Table13[[#This Row],[popularity]]&gt;70, "Popular", IF(Table13[[#This Row],[popularity]]&lt;40, "Less Popular", "Mid"))</f>
        <v>Popular</v>
      </c>
    </row>
    <row r="330" spans="2:21" x14ac:dyDescent="0.3">
      <c r="B330" s="8" t="s">
        <v>423</v>
      </c>
      <c r="C330" s="8" t="s">
        <v>416</v>
      </c>
      <c r="D330" s="9">
        <v>43700</v>
      </c>
      <c r="E330" s="8">
        <v>5</v>
      </c>
      <c r="F330" s="11">
        <v>8.3333333333333332E-3</v>
      </c>
      <c r="G330" s="8">
        <v>0.20277777777777775</v>
      </c>
      <c r="H330" s="8">
        <v>0.39861111111111108</v>
      </c>
      <c r="I330" s="8" t="s">
        <v>424</v>
      </c>
      <c r="J330" s="8">
        <v>0.4604166666666667</v>
      </c>
      <c r="K330" s="10">
        <v>-9375</v>
      </c>
      <c r="L330" s="8">
        <v>0.27847222222222223</v>
      </c>
      <c r="M330" s="10">
        <v>124344</v>
      </c>
      <c r="N330" s="8">
        <v>0.11527777777777777</v>
      </c>
      <c r="O330" s="8">
        <v>75</v>
      </c>
      <c r="P330" s="8">
        <v>211240</v>
      </c>
      <c r="Q330" s="8">
        <f>YEAR(Table13[[#This Row],[release_date]])</f>
        <v>2019</v>
      </c>
      <c r="R330" s="8">
        <f>ROUND(Table13[[#This Row],[duration_ms]]/60000,2)</f>
        <v>3.52</v>
      </c>
      <c r="S330" s="8" t="str">
        <f>IF(Table13[[#This Row],[valence]]&gt;=0.6, "Happy", IF(Table13[[#This Row],[valence]]&gt;=0.4, "Neutral", "Sad"))</f>
        <v>Sad</v>
      </c>
      <c r="T330" s="8" t="str">
        <f>IF(Table13[[#This Row],[energy]]&gt;=0.7, "High Energy", IF(Table13[[#This Row],[energy]]&gt;=0.4, "Medium Energy", "Low Energy"))</f>
        <v>Low Energy</v>
      </c>
      <c r="U330" s="17" t="str">
        <f>IF(Table13[[#This Row],[popularity]]&gt;70, "Popular", IF(Table13[[#This Row],[popularity]]&lt;40, "Less Popular", "Mid"))</f>
        <v>Popular</v>
      </c>
    </row>
    <row r="331" spans="2:21" x14ac:dyDescent="0.3">
      <c r="B331" s="8" t="s">
        <v>425</v>
      </c>
      <c r="C331" s="8" t="s">
        <v>416</v>
      </c>
      <c r="D331" s="9">
        <v>43700</v>
      </c>
      <c r="E331" s="8">
        <v>6</v>
      </c>
      <c r="F331" s="8" t="s">
        <v>426</v>
      </c>
      <c r="G331" s="8">
        <v>0.62291666666666667</v>
      </c>
      <c r="H331" s="8">
        <v>0.25416666666666665</v>
      </c>
      <c r="I331" s="8" t="s">
        <v>427</v>
      </c>
      <c r="J331" s="8">
        <v>0.49652777777777773</v>
      </c>
      <c r="K331" s="10">
        <v>-8029</v>
      </c>
      <c r="L331" s="8">
        <v>0.39513888888888887</v>
      </c>
      <c r="M331" s="10">
        <v>100003</v>
      </c>
      <c r="N331" s="8">
        <v>0.28888888888888892</v>
      </c>
      <c r="O331" s="8">
        <v>72</v>
      </c>
      <c r="P331" s="8">
        <v>173386</v>
      </c>
      <c r="Q331" s="8">
        <f>YEAR(Table13[[#This Row],[release_date]])</f>
        <v>2019</v>
      </c>
      <c r="R331" s="8">
        <f>ROUND(Table13[[#This Row],[duration_ms]]/60000,2)</f>
        <v>2.89</v>
      </c>
      <c r="S331" s="8" t="str">
        <f>IF(Table13[[#This Row],[valence]]&gt;=0.6, "Happy", IF(Table13[[#This Row],[valence]]&gt;=0.4, "Neutral", "Sad"))</f>
        <v>Sad</v>
      </c>
      <c r="T331" s="8" t="str">
        <f>IF(Table13[[#This Row],[energy]]&gt;=0.7, "High Energy", IF(Table13[[#This Row],[energy]]&gt;=0.4, "Medium Energy", "Low Energy"))</f>
        <v>Low Energy</v>
      </c>
      <c r="U331" s="17" t="str">
        <f>IF(Table13[[#This Row],[popularity]]&gt;70, "Popular", IF(Table13[[#This Row],[popularity]]&lt;40, "Less Popular", "Mid"))</f>
        <v>Popular</v>
      </c>
    </row>
    <row r="332" spans="2:21" x14ac:dyDescent="0.3">
      <c r="B332" s="8" t="s">
        <v>428</v>
      </c>
      <c r="C332" s="8" t="s">
        <v>416</v>
      </c>
      <c r="D332" s="9">
        <v>43700</v>
      </c>
      <c r="E332" s="8">
        <v>7</v>
      </c>
      <c r="F332" s="8" t="s">
        <v>429</v>
      </c>
      <c r="G332" s="8">
        <v>0.4597222222222222</v>
      </c>
      <c r="H332" s="8">
        <v>0.51874999999999993</v>
      </c>
      <c r="I332" s="8" t="s">
        <v>430</v>
      </c>
      <c r="J332" s="8">
        <v>9.5833333333333326E-2</v>
      </c>
      <c r="K332" s="10">
        <v>-6926</v>
      </c>
      <c r="L332" s="8">
        <v>0.51111111111111118</v>
      </c>
      <c r="M332" s="10">
        <v>150088</v>
      </c>
      <c r="N332" s="8">
        <v>0.33819444444444446</v>
      </c>
      <c r="O332" s="8">
        <v>79</v>
      </c>
      <c r="P332" s="8">
        <v>234146</v>
      </c>
      <c r="Q332" s="8">
        <f>YEAR(Table13[[#This Row],[release_date]])</f>
        <v>2019</v>
      </c>
      <c r="R332" s="8">
        <f>ROUND(Table13[[#This Row],[duration_ms]]/60000,2)</f>
        <v>3.9</v>
      </c>
      <c r="S332" s="8" t="str">
        <f>IF(Table13[[#This Row],[valence]]&gt;=0.6, "Happy", IF(Table13[[#This Row],[valence]]&gt;=0.4, "Neutral", "Sad"))</f>
        <v>Sad</v>
      </c>
      <c r="T332" s="8" t="str">
        <f>IF(Table13[[#This Row],[energy]]&gt;=0.7, "High Energy", IF(Table13[[#This Row],[energy]]&gt;=0.4, "Medium Energy", "Low Energy"))</f>
        <v>Medium Energy</v>
      </c>
      <c r="U332" s="17" t="str">
        <f>IF(Table13[[#This Row],[popularity]]&gt;70, "Popular", IF(Table13[[#This Row],[popularity]]&lt;40, "Less Popular", "Mid"))</f>
        <v>Popular</v>
      </c>
    </row>
    <row r="333" spans="2:21" x14ac:dyDescent="0.3">
      <c r="B333" s="8" t="s">
        <v>431</v>
      </c>
      <c r="C333" s="8" t="s">
        <v>416</v>
      </c>
      <c r="D333" s="9">
        <v>43700</v>
      </c>
      <c r="E333" s="8">
        <v>8</v>
      </c>
      <c r="F333" s="8">
        <v>8.9583333333333334E-2</v>
      </c>
      <c r="G333" s="8">
        <v>0.56319444444444444</v>
      </c>
      <c r="H333" s="8">
        <v>0.4993055555555555</v>
      </c>
      <c r="I333" s="8" t="s">
        <v>432</v>
      </c>
      <c r="J333" s="8">
        <v>0.51527777777777783</v>
      </c>
      <c r="K333" s="10">
        <v>-6553</v>
      </c>
      <c r="L333" s="8">
        <v>0.34513888888888888</v>
      </c>
      <c r="M333" s="10">
        <v>103979</v>
      </c>
      <c r="N333" s="8">
        <v>0.60069444444444442</v>
      </c>
      <c r="O333" s="8">
        <v>78</v>
      </c>
      <c r="P333" s="8">
        <v>222400</v>
      </c>
      <c r="Q333" s="8">
        <f>YEAR(Table13[[#This Row],[release_date]])</f>
        <v>2019</v>
      </c>
      <c r="R333" s="8">
        <f>ROUND(Table13[[#This Row],[duration_ms]]/60000,2)</f>
        <v>3.71</v>
      </c>
      <c r="S333" s="8" t="str">
        <f>IF(Table13[[#This Row],[valence]]&gt;=0.6, "Happy", IF(Table13[[#This Row],[valence]]&gt;=0.4, "Neutral", "Sad"))</f>
        <v>Happy</v>
      </c>
      <c r="T333" s="8" t="str">
        <f>IF(Table13[[#This Row],[energy]]&gt;=0.7, "High Energy", IF(Table13[[#This Row],[energy]]&gt;=0.4, "Medium Energy", "Low Energy"))</f>
        <v>Medium Energy</v>
      </c>
      <c r="U333" s="17" t="str">
        <f>IF(Table13[[#This Row],[popularity]]&gt;70, "Popular", IF(Table13[[#This Row],[popularity]]&lt;40, "Less Popular", "Mid"))</f>
        <v>Popular</v>
      </c>
    </row>
    <row r="334" spans="2:21" x14ac:dyDescent="0.3">
      <c r="B334" s="8" t="s">
        <v>433</v>
      </c>
      <c r="C334" s="8" t="s">
        <v>416</v>
      </c>
      <c r="D334" s="9">
        <v>43700</v>
      </c>
      <c r="E334" s="8">
        <v>9</v>
      </c>
      <c r="F334" s="8">
        <v>0.54236111111111118</v>
      </c>
      <c r="G334" s="8">
        <v>0.57222222222222219</v>
      </c>
      <c r="H334" s="8">
        <v>0.43333333333333335</v>
      </c>
      <c r="I334" s="8" t="s">
        <v>434</v>
      </c>
      <c r="J334" s="11">
        <v>6.9444444444444447E-4</v>
      </c>
      <c r="K334" s="10">
        <v>-9728</v>
      </c>
      <c r="L334" s="8">
        <v>0.57430555555555551</v>
      </c>
      <c r="M334" s="10">
        <v>102012</v>
      </c>
      <c r="N334" s="8">
        <v>0.17222222222222225</v>
      </c>
      <c r="O334" s="8">
        <v>74</v>
      </c>
      <c r="P334" s="8">
        <v>287266</v>
      </c>
      <c r="Q334" s="8">
        <f>YEAR(Table13[[#This Row],[release_date]])</f>
        <v>2019</v>
      </c>
      <c r="R334" s="8">
        <f>ROUND(Table13[[#This Row],[duration_ms]]/60000,2)</f>
        <v>4.79</v>
      </c>
      <c r="S334" s="8" t="str">
        <f>IF(Table13[[#This Row],[valence]]&gt;=0.6, "Happy", IF(Table13[[#This Row],[valence]]&gt;=0.4, "Neutral", "Sad"))</f>
        <v>Sad</v>
      </c>
      <c r="T334" s="8" t="str">
        <f>IF(Table13[[#This Row],[energy]]&gt;=0.7, "High Energy", IF(Table13[[#This Row],[energy]]&gt;=0.4, "Medium Energy", "Low Energy"))</f>
        <v>Medium Energy</v>
      </c>
      <c r="U334" s="17" t="str">
        <f>IF(Table13[[#This Row],[popularity]]&gt;70, "Popular", IF(Table13[[#This Row],[popularity]]&lt;40, "Less Popular", "Mid"))</f>
        <v>Popular</v>
      </c>
    </row>
    <row r="335" spans="2:21" x14ac:dyDescent="0.3">
      <c r="B335" s="8" t="s">
        <v>435</v>
      </c>
      <c r="C335" s="8" t="s">
        <v>416</v>
      </c>
      <c r="D335" s="9">
        <v>43700</v>
      </c>
      <c r="E335" s="8">
        <v>10</v>
      </c>
      <c r="F335" s="8">
        <v>0.31527777777777777</v>
      </c>
      <c r="G335" s="8">
        <v>0.49444444444444446</v>
      </c>
      <c r="H335" s="8">
        <v>0.5083333333333333</v>
      </c>
      <c r="I335" s="11">
        <v>0</v>
      </c>
      <c r="J335" s="8">
        <v>0.22152777777777777</v>
      </c>
      <c r="K335" s="10">
        <v>-6754</v>
      </c>
      <c r="L335" s="8">
        <v>0.4368055555555555</v>
      </c>
      <c r="M335" s="10">
        <v>94071</v>
      </c>
      <c r="N335" s="8">
        <v>0.21736111111111112</v>
      </c>
      <c r="O335" s="8">
        <v>72</v>
      </c>
      <c r="P335" s="8">
        <v>198533</v>
      </c>
      <c r="Q335" s="8">
        <f>YEAR(Table13[[#This Row],[release_date]])</f>
        <v>2019</v>
      </c>
      <c r="R335" s="8">
        <f>ROUND(Table13[[#This Row],[duration_ms]]/60000,2)</f>
        <v>3.31</v>
      </c>
      <c r="S335" s="8" t="str">
        <f>IF(Table13[[#This Row],[valence]]&gt;=0.6, "Happy", IF(Table13[[#This Row],[valence]]&gt;=0.4, "Neutral", "Sad"))</f>
        <v>Sad</v>
      </c>
      <c r="T335" s="8" t="str">
        <f>IF(Table13[[#This Row],[energy]]&gt;=0.7, "High Energy", IF(Table13[[#This Row],[energy]]&gt;=0.4, "Medium Energy", "Low Energy"))</f>
        <v>Medium Energy</v>
      </c>
      <c r="U335" s="17" t="str">
        <f>IF(Table13[[#This Row],[popularity]]&gt;70, "Popular", IF(Table13[[#This Row],[popularity]]&lt;40, "Less Popular", "Mid"))</f>
        <v>Popular</v>
      </c>
    </row>
    <row r="336" spans="2:21" x14ac:dyDescent="0.3">
      <c r="B336" s="8" t="s">
        <v>436</v>
      </c>
      <c r="C336" s="8" t="s">
        <v>416</v>
      </c>
      <c r="D336" s="9">
        <v>43700</v>
      </c>
      <c r="E336" s="8">
        <v>11</v>
      </c>
      <c r="F336" s="8">
        <v>0.17083333333333331</v>
      </c>
      <c r="G336" s="8">
        <v>0.4826388888888889</v>
      </c>
      <c r="H336" s="8">
        <v>4.9305555555555554E-2</v>
      </c>
      <c r="I336" s="8" t="s">
        <v>437</v>
      </c>
      <c r="J336" s="8">
        <v>9.2361111111111116E-2</v>
      </c>
      <c r="K336" s="10">
        <v>-6639</v>
      </c>
      <c r="L336" s="11">
        <v>3.472222222222222E-3</v>
      </c>
      <c r="M336" s="10">
        <v>157925</v>
      </c>
      <c r="N336" s="8">
        <v>0.38680555555555557</v>
      </c>
      <c r="O336" s="8">
        <v>74</v>
      </c>
      <c r="P336" s="8">
        <v>190240</v>
      </c>
      <c r="Q336" s="8">
        <f>YEAR(Table13[[#This Row],[release_date]])</f>
        <v>2019</v>
      </c>
      <c r="R336" s="8">
        <f>ROUND(Table13[[#This Row],[duration_ms]]/60000,2)</f>
        <v>3.17</v>
      </c>
      <c r="S336" s="8" t="str">
        <f>IF(Table13[[#This Row],[valence]]&gt;=0.6, "Happy", IF(Table13[[#This Row],[valence]]&gt;=0.4, "Neutral", "Sad"))</f>
        <v>Sad</v>
      </c>
      <c r="T336" s="8" t="str">
        <f>IF(Table13[[#This Row],[energy]]&gt;=0.7, "High Energy", IF(Table13[[#This Row],[energy]]&gt;=0.4, "Medium Energy", "Low Energy"))</f>
        <v>Low Energy</v>
      </c>
      <c r="U336" s="17" t="str">
        <f>IF(Table13[[#This Row],[popularity]]&gt;70, "Popular", IF(Table13[[#This Row],[popularity]]&lt;40, "Less Popular", "Mid"))</f>
        <v>Popular</v>
      </c>
    </row>
    <row r="337" spans="2:21" x14ac:dyDescent="0.3">
      <c r="B337" s="8" t="s">
        <v>438</v>
      </c>
      <c r="C337" s="8" t="s">
        <v>416</v>
      </c>
      <c r="D337" s="9">
        <v>43700</v>
      </c>
      <c r="E337" s="8">
        <v>12</v>
      </c>
      <c r="F337" s="8">
        <v>0.62986111111111109</v>
      </c>
      <c r="G337" s="8">
        <v>0.30069444444444443</v>
      </c>
      <c r="H337" s="8">
        <v>0.12638888888888888</v>
      </c>
      <c r="I337" s="11">
        <v>0</v>
      </c>
      <c r="J337" s="8">
        <v>8.5416666666666655E-2</v>
      </c>
      <c r="K337" s="10">
        <v>-12566</v>
      </c>
      <c r="L337" s="8">
        <v>0.44513888888888892</v>
      </c>
      <c r="M337" s="10">
        <v>207476</v>
      </c>
      <c r="N337" s="8">
        <v>0.29236111111111113</v>
      </c>
      <c r="O337" s="8">
        <v>66</v>
      </c>
      <c r="P337" s="8">
        <v>201586</v>
      </c>
      <c r="Q337" s="8">
        <f>YEAR(Table13[[#This Row],[release_date]])</f>
        <v>2019</v>
      </c>
      <c r="R337" s="8">
        <f>ROUND(Table13[[#This Row],[duration_ms]]/60000,2)</f>
        <v>3.36</v>
      </c>
      <c r="S337" s="8" t="str">
        <f>IF(Table13[[#This Row],[valence]]&gt;=0.6, "Happy", IF(Table13[[#This Row],[valence]]&gt;=0.4, "Neutral", "Sad"))</f>
        <v>Sad</v>
      </c>
      <c r="T337" s="8" t="str">
        <f>IF(Table13[[#This Row],[energy]]&gt;=0.7, "High Energy", IF(Table13[[#This Row],[energy]]&gt;=0.4, "Medium Energy", "Low Energy"))</f>
        <v>Low Energy</v>
      </c>
      <c r="U337" s="17" t="str">
        <f>IF(Table13[[#This Row],[popularity]]&gt;70, "Popular", IF(Table13[[#This Row],[popularity]]&lt;40, "Less Popular", "Mid"))</f>
        <v>Mid</v>
      </c>
    </row>
    <row r="338" spans="2:21" x14ac:dyDescent="0.3">
      <c r="B338" s="8" t="s">
        <v>439</v>
      </c>
      <c r="C338" s="8" t="s">
        <v>416</v>
      </c>
      <c r="D338" s="9">
        <v>43700</v>
      </c>
      <c r="E338" s="8">
        <v>13</v>
      </c>
      <c r="F338" s="8">
        <v>0.51111111111111118</v>
      </c>
      <c r="G338" s="8">
        <v>0.5131944444444444</v>
      </c>
      <c r="H338" s="11">
        <v>2.2222222222222223E-2</v>
      </c>
      <c r="I338" s="8" t="s">
        <v>440</v>
      </c>
      <c r="J338" s="8">
        <v>7.7083333333333337E-2</v>
      </c>
      <c r="K338" s="10">
        <v>-10862</v>
      </c>
      <c r="L338" s="8">
        <v>0.16597222222222222</v>
      </c>
      <c r="M338" s="8" t="s">
        <v>441</v>
      </c>
      <c r="N338" s="8">
        <v>0.24374999999999999</v>
      </c>
      <c r="O338" s="8">
        <v>73</v>
      </c>
      <c r="P338" s="8">
        <v>200306</v>
      </c>
      <c r="Q338" s="8">
        <f>YEAR(Table13[[#This Row],[release_date]])</f>
        <v>2019</v>
      </c>
      <c r="R338" s="8">
        <f>ROUND(Table13[[#This Row],[duration_ms]]/60000,2)</f>
        <v>3.34</v>
      </c>
      <c r="S338" s="8" t="str">
        <f>IF(Table13[[#This Row],[valence]]&gt;=0.6, "Happy", IF(Table13[[#This Row],[valence]]&gt;=0.4, "Neutral", "Sad"))</f>
        <v>Sad</v>
      </c>
      <c r="T338" s="8" t="str">
        <f>IF(Table13[[#This Row],[energy]]&gt;=0.7, "High Energy", IF(Table13[[#This Row],[energy]]&gt;=0.4, "Medium Energy", "Low Energy"))</f>
        <v>Low Energy</v>
      </c>
      <c r="U338" s="17" t="str">
        <f>IF(Table13[[#This Row],[popularity]]&gt;70, "Popular", IF(Table13[[#This Row],[popularity]]&lt;40, "Less Popular", "Mid"))</f>
        <v>Popular</v>
      </c>
    </row>
    <row r="339" spans="2:21" x14ac:dyDescent="0.3">
      <c r="B339" s="8" t="s">
        <v>442</v>
      </c>
      <c r="C339" s="8" t="s">
        <v>416</v>
      </c>
      <c r="D339" s="9">
        <v>43700</v>
      </c>
      <c r="E339" s="8">
        <v>14</v>
      </c>
      <c r="F339" s="8" t="s">
        <v>443</v>
      </c>
      <c r="G339" s="8">
        <v>0.53541666666666665</v>
      </c>
      <c r="H339" s="8">
        <v>0.46597222222222223</v>
      </c>
      <c r="I339" s="11">
        <v>0</v>
      </c>
      <c r="J339" s="8">
        <v>0.44236111111111115</v>
      </c>
      <c r="K339" s="10">
        <v>-5617</v>
      </c>
      <c r="L339" s="8">
        <v>0.3840277777777778</v>
      </c>
      <c r="M339" s="10">
        <v>85026</v>
      </c>
      <c r="N339" s="8">
        <v>0.49583333333333335</v>
      </c>
      <c r="O339" s="8">
        <v>80</v>
      </c>
      <c r="P339" s="8">
        <v>171360</v>
      </c>
      <c r="Q339" s="8">
        <f>YEAR(Table13[[#This Row],[release_date]])</f>
        <v>2019</v>
      </c>
      <c r="R339" s="8">
        <f>ROUND(Table13[[#This Row],[duration_ms]]/60000,2)</f>
        <v>2.86</v>
      </c>
      <c r="S339" s="8" t="str">
        <f>IF(Table13[[#This Row],[valence]]&gt;=0.6, "Happy", IF(Table13[[#This Row],[valence]]&gt;=0.4, "Neutral", "Sad"))</f>
        <v>Neutral</v>
      </c>
      <c r="T339" s="8" t="str">
        <f>IF(Table13[[#This Row],[energy]]&gt;=0.7, "High Energy", IF(Table13[[#This Row],[energy]]&gt;=0.4, "Medium Energy", "Low Energy"))</f>
        <v>Medium Energy</v>
      </c>
      <c r="U339" s="17" t="str">
        <f>IF(Table13[[#This Row],[popularity]]&gt;70, "Popular", IF(Table13[[#This Row],[popularity]]&lt;40, "Less Popular", "Mid"))</f>
        <v>Popular</v>
      </c>
    </row>
    <row r="340" spans="2:21" x14ac:dyDescent="0.3">
      <c r="B340" s="8" t="s">
        <v>444</v>
      </c>
      <c r="C340" s="8" t="s">
        <v>416</v>
      </c>
      <c r="D340" s="9">
        <v>43700</v>
      </c>
      <c r="E340" s="8">
        <v>15</v>
      </c>
      <c r="F340" s="11">
        <v>9.0277777777777787E-3</v>
      </c>
      <c r="G340" s="8">
        <v>0.52500000000000002</v>
      </c>
      <c r="H340" s="8">
        <v>0.31180555555555556</v>
      </c>
      <c r="I340" s="11">
        <v>0</v>
      </c>
      <c r="J340" s="8">
        <v>7.9166666666666663E-2</v>
      </c>
      <c r="K340" s="10">
        <v>-8746</v>
      </c>
      <c r="L340" s="8">
        <v>0.2388888888888889</v>
      </c>
      <c r="M340" s="10">
        <v>111011</v>
      </c>
      <c r="N340" s="8">
        <v>0.27708333333333335</v>
      </c>
      <c r="O340" s="8">
        <v>74</v>
      </c>
      <c r="P340" s="8">
        <v>223293</v>
      </c>
      <c r="Q340" s="8">
        <f>YEAR(Table13[[#This Row],[release_date]])</f>
        <v>2019</v>
      </c>
      <c r="R340" s="8">
        <f>ROUND(Table13[[#This Row],[duration_ms]]/60000,2)</f>
        <v>3.72</v>
      </c>
      <c r="S340" s="8" t="str">
        <f>IF(Table13[[#This Row],[valence]]&gt;=0.6, "Happy", IF(Table13[[#This Row],[valence]]&gt;=0.4, "Neutral", "Sad"))</f>
        <v>Sad</v>
      </c>
      <c r="T340" s="8" t="str">
        <f>IF(Table13[[#This Row],[energy]]&gt;=0.7, "High Energy", IF(Table13[[#This Row],[energy]]&gt;=0.4, "Medium Energy", "Low Energy"))</f>
        <v>Low Energy</v>
      </c>
      <c r="U340" s="17" t="str">
        <f>IF(Table13[[#This Row],[popularity]]&gt;70, "Popular", IF(Table13[[#This Row],[popularity]]&lt;40, "Less Popular", "Mid"))</f>
        <v>Popular</v>
      </c>
    </row>
    <row r="341" spans="2:21" x14ac:dyDescent="0.3">
      <c r="B341" s="8" t="s">
        <v>445</v>
      </c>
      <c r="C341" s="8" t="s">
        <v>416</v>
      </c>
      <c r="D341" s="9">
        <v>43700</v>
      </c>
      <c r="E341" s="8">
        <v>16</v>
      </c>
      <c r="F341" s="8" t="s">
        <v>446</v>
      </c>
      <c r="G341" s="8">
        <v>4.2361111111111106E-2</v>
      </c>
      <c r="H341" s="8">
        <v>5.7638888888888885E-2</v>
      </c>
      <c r="I341" s="11">
        <v>0</v>
      </c>
      <c r="J341" s="8">
        <v>8.1944444444444445E-2</v>
      </c>
      <c r="K341" s="10">
        <v>-4105</v>
      </c>
      <c r="L341" s="8">
        <v>0.39652777777777781</v>
      </c>
      <c r="M341" s="10">
        <v>182162</v>
      </c>
      <c r="N341" s="8">
        <v>0.50555555555555554</v>
      </c>
      <c r="O341" s="8">
        <v>75</v>
      </c>
      <c r="P341" s="8">
        <v>193000</v>
      </c>
      <c r="Q341" s="8">
        <f>YEAR(Table13[[#This Row],[release_date]])</f>
        <v>2019</v>
      </c>
      <c r="R341" s="8">
        <f>ROUND(Table13[[#This Row],[duration_ms]]/60000,2)</f>
        <v>3.22</v>
      </c>
      <c r="S341" s="8" t="str">
        <f>IF(Table13[[#This Row],[valence]]&gt;=0.6, "Happy", IF(Table13[[#This Row],[valence]]&gt;=0.4, "Neutral", "Sad"))</f>
        <v>Neutral</v>
      </c>
      <c r="T341" s="8" t="str">
        <f>IF(Table13[[#This Row],[energy]]&gt;=0.7, "High Energy", IF(Table13[[#This Row],[energy]]&gt;=0.4, "Medium Energy", "Low Energy"))</f>
        <v>Low Energy</v>
      </c>
      <c r="U341" s="17" t="str">
        <f>IF(Table13[[#This Row],[popularity]]&gt;70, "Popular", IF(Table13[[#This Row],[popularity]]&lt;40, "Less Popular", "Mid"))</f>
        <v>Popular</v>
      </c>
    </row>
    <row r="342" spans="2:21" x14ac:dyDescent="0.3">
      <c r="B342" s="8" t="s">
        <v>447</v>
      </c>
      <c r="C342" s="8" t="s">
        <v>416</v>
      </c>
      <c r="D342" s="9">
        <v>43700</v>
      </c>
      <c r="E342" s="8">
        <v>17</v>
      </c>
      <c r="F342" s="8">
        <v>0.6743055555555556</v>
      </c>
      <c r="G342" s="8">
        <v>0.51180555555555551</v>
      </c>
      <c r="H342" s="8">
        <v>0.12152777777777778</v>
      </c>
      <c r="I342" s="8" t="s">
        <v>448</v>
      </c>
      <c r="J342" s="8">
        <v>0.11875000000000001</v>
      </c>
      <c r="K342" s="10">
        <v>-9912</v>
      </c>
      <c r="L342" s="8">
        <v>0.27847222222222223</v>
      </c>
      <c r="M342" s="10">
        <v>70008</v>
      </c>
      <c r="N342" s="8">
        <v>0.37847222222222227</v>
      </c>
      <c r="O342" s="8">
        <v>66</v>
      </c>
      <c r="P342" s="8">
        <v>150440</v>
      </c>
      <c r="Q342" s="8">
        <f>YEAR(Table13[[#This Row],[release_date]])</f>
        <v>2019</v>
      </c>
      <c r="R342" s="8">
        <f>ROUND(Table13[[#This Row],[duration_ms]]/60000,2)</f>
        <v>2.5099999999999998</v>
      </c>
      <c r="S342" s="8" t="str">
        <f>IF(Table13[[#This Row],[valence]]&gt;=0.6, "Happy", IF(Table13[[#This Row],[valence]]&gt;=0.4, "Neutral", "Sad"))</f>
        <v>Sad</v>
      </c>
      <c r="T342" s="8" t="str">
        <f>IF(Table13[[#This Row],[energy]]&gt;=0.7, "High Energy", IF(Table13[[#This Row],[energy]]&gt;=0.4, "Medium Energy", "Low Energy"))</f>
        <v>Low Energy</v>
      </c>
      <c r="U342" s="17" t="str">
        <f>IF(Table13[[#This Row],[popularity]]&gt;70, "Popular", IF(Table13[[#This Row],[popularity]]&lt;40, "Less Popular", "Mid"))</f>
        <v>Mid</v>
      </c>
    </row>
    <row r="343" spans="2:21" x14ac:dyDescent="0.3">
      <c r="B343" s="8" t="s">
        <v>449</v>
      </c>
      <c r="C343" s="8" t="s">
        <v>416</v>
      </c>
      <c r="D343" s="9">
        <v>43700</v>
      </c>
      <c r="E343" s="8">
        <v>18</v>
      </c>
      <c r="F343" s="8">
        <v>0.56111111111111112</v>
      </c>
      <c r="G343" s="8">
        <v>0.38680555555555557</v>
      </c>
      <c r="H343" s="8">
        <v>0.3444444444444445</v>
      </c>
      <c r="I343" s="8" t="s">
        <v>450</v>
      </c>
      <c r="J343" s="8">
        <v>0.53611111111111109</v>
      </c>
      <c r="K343" s="10">
        <v>-9602</v>
      </c>
      <c r="L343" s="8">
        <v>0.39097222222222222</v>
      </c>
      <c r="M343" s="10">
        <v>149983</v>
      </c>
      <c r="N343" s="8">
        <v>0.18402777777777779</v>
      </c>
      <c r="O343" s="8">
        <v>78</v>
      </c>
      <c r="P343" s="8">
        <v>293453</v>
      </c>
      <c r="Q343" s="8">
        <f>YEAR(Table13[[#This Row],[release_date]])</f>
        <v>2019</v>
      </c>
      <c r="R343" s="8">
        <f>ROUND(Table13[[#This Row],[duration_ms]]/60000,2)</f>
        <v>4.8899999999999997</v>
      </c>
      <c r="S343" s="8" t="str">
        <f>IF(Table13[[#This Row],[valence]]&gt;=0.6, "Happy", IF(Table13[[#This Row],[valence]]&gt;=0.4, "Neutral", "Sad"))</f>
        <v>Sad</v>
      </c>
      <c r="T343" s="8" t="str">
        <f>IF(Table13[[#This Row],[energy]]&gt;=0.7, "High Energy", IF(Table13[[#This Row],[energy]]&gt;=0.4, "Medium Energy", "Low Energy"))</f>
        <v>Low Energy</v>
      </c>
      <c r="U343" s="17" t="str">
        <f>IF(Table13[[#This Row],[popularity]]&gt;70, "Popular", IF(Table13[[#This Row],[popularity]]&lt;40, "Less Popular", "Mid"))</f>
        <v>Popular</v>
      </c>
    </row>
    <row r="344" spans="2:21" x14ac:dyDescent="0.3">
      <c r="B344" s="8" t="s">
        <v>451</v>
      </c>
      <c r="C344" s="8" t="s">
        <v>452</v>
      </c>
      <c r="D344" s="9">
        <v>43049</v>
      </c>
      <c r="E344" s="8">
        <v>1</v>
      </c>
      <c r="F344" s="8">
        <v>0.3659722222222222</v>
      </c>
      <c r="G344" s="8">
        <v>0.42569444444444443</v>
      </c>
      <c r="H344" s="8">
        <v>0.53055555555555556</v>
      </c>
      <c r="I344" s="11">
        <v>0</v>
      </c>
      <c r="J344" s="8">
        <v>0.13680555555555554</v>
      </c>
      <c r="K344" s="10">
        <v>-6509</v>
      </c>
      <c r="L344" s="8">
        <v>9.4444444444444442E-2</v>
      </c>
      <c r="M344" s="10">
        <v>160015</v>
      </c>
      <c r="N344" s="8">
        <v>0.28958333333333336</v>
      </c>
      <c r="O344" s="8">
        <v>82</v>
      </c>
      <c r="P344" s="8">
        <v>208186</v>
      </c>
      <c r="Q344" s="8">
        <f>YEAR(Table13[[#This Row],[release_date]])</f>
        <v>2017</v>
      </c>
      <c r="R344" s="8">
        <f>ROUND(Table13[[#This Row],[duration_ms]]/60000,2)</f>
        <v>3.47</v>
      </c>
      <c r="S344" s="8" t="str">
        <f>IF(Table13[[#This Row],[valence]]&gt;=0.6, "Happy", IF(Table13[[#This Row],[valence]]&gt;=0.4, "Neutral", "Sad"))</f>
        <v>Sad</v>
      </c>
      <c r="T344" s="8" t="str">
        <f>IF(Table13[[#This Row],[energy]]&gt;=0.7, "High Energy", IF(Table13[[#This Row],[energy]]&gt;=0.4, "Medium Energy", "Low Energy"))</f>
        <v>Medium Energy</v>
      </c>
      <c r="U344" s="17" t="str">
        <f>IF(Table13[[#This Row],[popularity]]&gt;70, "Popular", IF(Table13[[#This Row],[popularity]]&lt;40, "Less Popular", "Mid"))</f>
        <v>Popular</v>
      </c>
    </row>
    <row r="345" spans="2:21" x14ac:dyDescent="0.3">
      <c r="B345" s="8" t="s">
        <v>453</v>
      </c>
      <c r="C345" s="8" t="s">
        <v>452</v>
      </c>
      <c r="D345" s="9">
        <v>43049</v>
      </c>
      <c r="E345" s="8">
        <v>2</v>
      </c>
      <c r="F345" s="8" t="s">
        <v>454</v>
      </c>
      <c r="G345" s="8">
        <v>0.45069444444444445</v>
      </c>
      <c r="H345" s="8">
        <v>0.40902777777777777</v>
      </c>
      <c r="I345" s="11">
        <v>0</v>
      </c>
      <c r="J345" s="8">
        <v>7.4999999999999997E-2</v>
      </c>
      <c r="K345" s="10">
        <v>-6237</v>
      </c>
      <c r="L345" s="8">
        <v>0.38750000000000001</v>
      </c>
      <c r="M345" s="10">
        <v>159073</v>
      </c>
      <c r="N345" s="8">
        <v>0.10486111111111111</v>
      </c>
      <c r="O345" s="8">
        <v>74</v>
      </c>
      <c r="P345" s="8">
        <v>244826</v>
      </c>
      <c r="Q345" s="8">
        <f>YEAR(Table13[[#This Row],[release_date]])</f>
        <v>2017</v>
      </c>
      <c r="R345" s="8">
        <f>ROUND(Table13[[#This Row],[duration_ms]]/60000,2)</f>
        <v>4.08</v>
      </c>
      <c r="S345" s="8" t="str">
        <f>IF(Table13[[#This Row],[valence]]&gt;=0.6, "Happy", IF(Table13[[#This Row],[valence]]&gt;=0.4, "Neutral", "Sad"))</f>
        <v>Sad</v>
      </c>
      <c r="T345" s="8" t="str">
        <f>IF(Table13[[#This Row],[energy]]&gt;=0.7, "High Energy", IF(Table13[[#This Row],[energy]]&gt;=0.4, "Medium Energy", "Low Energy"))</f>
        <v>Medium Energy</v>
      </c>
      <c r="U345" s="17" t="str">
        <f>IF(Table13[[#This Row],[popularity]]&gt;70, "Popular", IF(Table13[[#This Row],[popularity]]&lt;40, "Less Popular", "Mid"))</f>
        <v>Popular</v>
      </c>
    </row>
    <row r="346" spans="2:21" x14ac:dyDescent="0.3">
      <c r="B346" s="8" t="s">
        <v>455</v>
      </c>
      <c r="C346" s="8" t="s">
        <v>452</v>
      </c>
      <c r="D346" s="9">
        <v>43049</v>
      </c>
      <c r="E346" s="8">
        <v>3</v>
      </c>
      <c r="F346" s="8">
        <v>0.47152777777777777</v>
      </c>
      <c r="G346" s="8">
        <v>0.48333333333333334</v>
      </c>
      <c r="H346" s="8">
        <v>0.41805555555555557</v>
      </c>
      <c r="I346" s="8" t="s">
        <v>456</v>
      </c>
      <c r="J346" s="8">
        <v>0.48333333333333334</v>
      </c>
      <c r="K346" s="10">
        <v>-6156</v>
      </c>
      <c r="L346" s="8">
        <v>0.11041666666666666</v>
      </c>
      <c r="M346" s="10">
        <v>82989</v>
      </c>
      <c r="N346" s="8">
        <v>0.21180555555555555</v>
      </c>
      <c r="O346" s="8">
        <v>75</v>
      </c>
      <c r="P346" s="8">
        <v>238253</v>
      </c>
      <c r="Q346" s="8">
        <f>YEAR(Table13[[#This Row],[release_date]])</f>
        <v>2017</v>
      </c>
      <c r="R346" s="8">
        <f>ROUND(Table13[[#This Row],[duration_ms]]/60000,2)</f>
        <v>3.97</v>
      </c>
      <c r="S346" s="8" t="str">
        <f>IF(Table13[[#This Row],[valence]]&gt;=0.6, "Happy", IF(Table13[[#This Row],[valence]]&gt;=0.4, "Neutral", "Sad"))</f>
        <v>Sad</v>
      </c>
      <c r="T346" s="8" t="str">
        <f>IF(Table13[[#This Row],[energy]]&gt;=0.7, "High Energy", IF(Table13[[#This Row],[energy]]&gt;=0.4, "Medium Energy", "Low Energy"))</f>
        <v>Medium Energy</v>
      </c>
      <c r="U346" s="17" t="str">
        <f>IF(Table13[[#This Row],[popularity]]&gt;70, "Popular", IF(Table13[[#This Row],[popularity]]&lt;40, "Less Popular", "Mid"))</f>
        <v>Popular</v>
      </c>
    </row>
    <row r="347" spans="2:21" x14ac:dyDescent="0.3">
      <c r="B347" s="8" t="s">
        <v>457</v>
      </c>
      <c r="C347" s="8" t="s">
        <v>452</v>
      </c>
      <c r="D347" s="9">
        <v>43049</v>
      </c>
      <c r="E347" s="8">
        <v>4</v>
      </c>
      <c r="F347" s="8">
        <v>7.3611111111111113E-2</v>
      </c>
      <c r="G347" s="8">
        <v>0.42708333333333331</v>
      </c>
      <c r="H347" s="8">
        <v>0.37083333333333335</v>
      </c>
      <c r="I347" s="8" t="s">
        <v>458</v>
      </c>
      <c r="J347" s="8">
        <v>0.42152777777777778</v>
      </c>
      <c r="K347" s="10">
        <v>-6719</v>
      </c>
      <c r="L347" s="8">
        <v>0.26805555555555555</v>
      </c>
      <c r="M347" s="10">
        <v>135917</v>
      </c>
      <c r="N347" s="8">
        <v>0.13402777777777777</v>
      </c>
      <c r="O347" s="8">
        <v>85</v>
      </c>
      <c r="P347" s="8">
        <v>236413</v>
      </c>
      <c r="Q347" s="8">
        <f>YEAR(Table13[[#This Row],[release_date]])</f>
        <v>2017</v>
      </c>
      <c r="R347" s="8">
        <f>ROUND(Table13[[#This Row],[duration_ms]]/60000,2)</f>
        <v>3.94</v>
      </c>
      <c r="S347" s="8" t="str">
        <f>IF(Table13[[#This Row],[valence]]&gt;=0.6, "Happy", IF(Table13[[#This Row],[valence]]&gt;=0.4, "Neutral", "Sad"))</f>
        <v>Sad</v>
      </c>
      <c r="T347" s="8" t="str">
        <f>IF(Table13[[#This Row],[energy]]&gt;=0.7, "High Energy", IF(Table13[[#This Row],[energy]]&gt;=0.4, "Medium Energy", "Low Energy"))</f>
        <v>Low Energy</v>
      </c>
      <c r="U347" s="17" t="str">
        <f>IF(Table13[[#This Row],[popularity]]&gt;70, "Popular", IF(Table13[[#This Row],[popularity]]&lt;40, "Less Popular", "Mid"))</f>
        <v>Popular</v>
      </c>
    </row>
    <row r="348" spans="2:21" x14ac:dyDescent="0.3">
      <c r="B348" s="8" t="s">
        <v>459</v>
      </c>
      <c r="C348" s="8" t="s">
        <v>452</v>
      </c>
      <c r="D348" s="9">
        <v>43049</v>
      </c>
      <c r="E348" s="8">
        <v>5</v>
      </c>
      <c r="F348" s="8">
        <v>0.15</v>
      </c>
      <c r="G348" s="8">
        <v>5.2083333333333336E-2</v>
      </c>
      <c r="H348" s="8">
        <v>0.28055555555555556</v>
      </c>
      <c r="I348" s="8" t="s">
        <v>460</v>
      </c>
      <c r="J348" s="8">
        <v>0.63263888888888886</v>
      </c>
      <c r="K348" s="10">
        <v>-10178</v>
      </c>
      <c r="L348" s="8">
        <v>0.47361111111111115</v>
      </c>
      <c r="M348" s="10">
        <v>95045</v>
      </c>
      <c r="N348" s="8">
        <v>0.34652777777777777</v>
      </c>
      <c r="O348" s="8">
        <v>81</v>
      </c>
      <c r="P348" s="8">
        <v>232253</v>
      </c>
      <c r="Q348" s="8">
        <f>YEAR(Table13[[#This Row],[release_date]])</f>
        <v>2017</v>
      </c>
      <c r="R348" s="8">
        <f>ROUND(Table13[[#This Row],[duration_ms]]/60000,2)</f>
        <v>3.87</v>
      </c>
      <c r="S348" s="8" t="str">
        <f>IF(Table13[[#This Row],[valence]]&gt;=0.6, "Happy", IF(Table13[[#This Row],[valence]]&gt;=0.4, "Neutral", "Sad"))</f>
        <v>Sad</v>
      </c>
      <c r="T348" s="8" t="str">
        <f>IF(Table13[[#This Row],[energy]]&gt;=0.7, "High Energy", IF(Table13[[#This Row],[energy]]&gt;=0.4, "Medium Energy", "Low Energy"))</f>
        <v>Low Energy</v>
      </c>
      <c r="U348" s="17" t="str">
        <f>IF(Table13[[#This Row],[popularity]]&gt;70, "Popular", IF(Table13[[#This Row],[popularity]]&lt;40, "Less Popular", "Mid"))</f>
        <v>Popular</v>
      </c>
    </row>
    <row r="349" spans="2:21" x14ac:dyDescent="0.3">
      <c r="B349" s="8" t="s">
        <v>461</v>
      </c>
      <c r="C349" s="8" t="s">
        <v>452</v>
      </c>
      <c r="D349" s="9">
        <v>43049</v>
      </c>
      <c r="E349" s="8">
        <v>6</v>
      </c>
      <c r="F349" s="8">
        <v>0.14166666666666666</v>
      </c>
      <c r="G349" s="8">
        <v>0.53194444444444444</v>
      </c>
      <c r="H349" s="8">
        <v>0.49236111111111108</v>
      </c>
      <c r="I349" s="8" t="s">
        <v>462</v>
      </c>
      <c r="J349" s="8">
        <v>8.7500000000000008E-2</v>
      </c>
      <c r="K349" s="10">
        <v>-6471</v>
      </c>
      <c r="L349" s="8">
        <v>8.5416666666666655E-2</v>
      </c>
      <c r="M349" s="14">
        <v>5.3381944444444445</v>
      </c>
      <c r="N349" s="8">
        <v>0.35138888888888892</v>
      </c>
      <c r="O349" s="8">
        <v>81</v>
      </c>
      <c r="P349" s="8">
        <v>211853</v>
      </c>
      <c r="Q349" s="8">
        <f>YEAR(Table13[[#This Row],[release_date]])</f>
        <v>2017</v>
      </c>
      <c r="R349" s="8">
        <f>ROUND(Table13[[#This Row],[duration_ms]]/60000,2)</f>
        <v>3.53</v>
      </c>
      <c r="S349" s="8" t="str">
        <f>IF(Table13[[#This Row],[valence]]&gt;=0.6, "Happy", IF(Table13[[#This Row],[valence]]&gt;=0.4, "Neutral", "Sad"))</f>
        <v>Sad</v>
      </c>
      <c r="T349" s="8" t="str">
        <f>IF(Table13[[#This Row],[energy]]&gt;=0.7, "High Energy", IF(Table13[[#This Row],[energy]]&gt;=0.4, "Medium Energy", "Low Energy"))</f>
        <v>Medium Energy</v>
      </c>
      <c r="U349" s="17" t="str">
        <f>IF(Table13[[#This Row],[popularity]]&gt;70, "Popular", IF(Table13[[#This Row],[popularity]]&lt;40, "Less Popular", "Mid"))</f>
        <v>Popular</v>
      </c>
    </row>
    <row r="350" spans="2:21" x14ac:dyDescent="0.3">
      <c r="B350" s="8" t="s">
        <v>463</v>
      </c>
      <c r="C350" s="8" t="s">
        <v>452</v>
      </c>
      <c r="D350" s="9">
        <v>43049</v>
      </c>
      <c r="E350" s="8">
        <v>7</v>
      </c>
      <c r="F350" s="8">
        <v>8.4722222222222213E-2</v>
      </c>
      <c r="G350" s="8">
        <v>0.39861111111111108</v>
      </c>
      <c r="H350" s="8">
        <v>4.2361111111111106E-2</v>
      </c>
      <c r="I350" s="8" t="s">
        <v>464</v>
      </c>
      <c r="J350" s="11">
        <v>9.0277777777777787E-3</v>
      </c>
      <c r="K350" s="10">
        <v>-7283</v>
      </c>
      <c r="L350" s="8">
        <v>0.5083333333333333</v>
      </c>
      <c r="M350" s="10">
        <v>74957</v>
      </c>
      <c r="N350" s="8">
        <v>0.25972222222222224</v>
      </c>
      <c r="O350" s="8">
        <v>69</v>
      </c>
      <c r="P350" s="8">
        <v>227906</v>
      </c>
      <c r="Q350" s="8">
        <f>YEAR(Table13[[#This Row],[release_date]])</f>
        <v>2017</v>
      </c>
      <c r="R350" s="8">
        <f>ROUND(Table13[[#This Row],[duration_ms]]/60000,2)</f>
        <v>3.8</v>
      </c>
      <c r="S350" s="8" t="str">
        <f>IF(Table13[[#This Row],[valence]]&gt;=0.6, "Happy", IF(Table13[[#This Row],[valence]]&gt;=0.4, "Neutral", "Sad"))</f>
        <v>Sad</v>
      </c>
      <c r="T350" s="8" t="str">
        <f>IF(Table13[[#This Row],[energy]]&gt;=0.7, "High Energy", IF(Table13[[#This Row],[energy]]&gt;=0.4, "Medium Energy", "Low Energy"))</f>
        <v>Low Energy</v>
      </c>
      <c r="U350" s="17" t="str">
        <f>IF(Table13[[#This Row],[popularity]]&gt;70, "Popular", IF(Table13[[#This Row],[popularity]]&lt;40, "Less Popular", "Mid"))</f>
        <v>Mid</v>
      </c>
    </row>
    <row r="351" spans="2:21" x14ac:dyDescent="0.3">
      <c r="B351" s="8" t="s">
        <v>465</v>
      </c>
      <c r="C351" s="8" t="s">
        <v>452</v>
      </c>
      <c r="D351" s="9">
        <v>43049</v>
      </c>
      <c r="E351" s="8">
        <v>8</v>
      </c>
      <c r="F351" s="8">
        <v>0.49513888888888885</v>
      </c>
      <c r="G351" s="11">
        <v>5.5555555555555558E-3</v>
      </c>
      <c r="H351" s="8">
        <v>0.37152777777777773</v>
      </c>
      <c r="I351" s="8" t="s">
        <v>81</v>
      </c>
      <c r="J351" s="8">
        <v>0.14791666666666667</v>
      </c>
      <c r="K351" s="10">
        <v>-6684</v>
      </c>
      <c r="L351" s="8">
        <v>9.375E-2</v>
      </c>
      <c r="M351" s="10">
        <v>92027</v>
      </c>
      <c r="N351" s="8">
        <v>0.31319444444444444</v>
      </c>
      <c r="O351" s="8">
        <v>76</v>
      </c>
      <c r="P351" s="8">
        <v>209680</v>
      </c>
      <c r="Q351" s="8">
        <f>YEAR(Table13[[#This Row],[release_date]])</f>
        <v>2017</v>
      </c>
      <c r="R351" s="8">
        <f>ROUND(Table13[[#This Row],[duration_ms]]/60000,2)</f>
        <v>3.49</v>
      </c>
      <c r="S351" s="8" t="str">
        <f>IF(Table13[[#This Row],[valence]]&gt;=0.6, "Happy", IF(Table13[[#This Row],[valence]]&gt;=0.4, "Neutral", "Sad"))</f>
        <v>Sad</v>
      </c>
      <c r="T351" s="8" t="str">
        <f>IF(Table13[[#This Row],[energy]]&gt;=0.7, "High Energy", IF(Table13[[#This Row],[energy]]&gt;=0.4, "Medium Energy", "Low Energy"))</f>
        <v>Low Energy</v>
      </c>
      <c r="U351" s="17" t="str">
        <f>IF(Table13[[#This Row],[popularity]]&gt;70, "Popular", IF(Table13[[#This Row],[popularity]]&lt;40, "Less Popular", "Mid"))</f>
        <v>Popular</v>
      </c>
    </row>
    <row r="352" spans="2:21" x14ac:dyDescent="0.3">
      <c r="B352" s="8" t="s">
        <v>466</v>
      </c>
      <c r="C352" s="8" t="s">
        <v>452</v>
      </c>
      <c r="D352" s="9">
        <v>43049</v>
      </c>
      <c r="E352" s="8">
        <v>9</v>
      </c>
      <c r="F352" s="8" t="s">
        <v>467</v>
      </c>
      <c r="G352" s="8">
        <v>0.39027777777777778</v>
      </c>
      <c r="H352" s="8">
        <v>0.47847222222222219</v>
      </c>
      <c r="I352" s="8" t="s">
        <v>468</v>
      </c>
      <c r="J352" s="8">
        <v>0.6166666666666667</v>
      </c>
      <c r="K352" s="10">
        <v>-6745</v>
      </c>
      <c r="L352" s="8">
        <v>8.819444444444445E-2</v>
      </c>
      <c r="M352" s="10">
        <v>172054</v>
      </c>
      <c r="N352" s="8">
        <v>0.24374999999999999</v>
      </c>
      <c r="O352" s="8">
        <v>79</v>
      </c>
      <c r="P352" s="8">
        <v>233626</v>
      </c>
      <c r="Q352" s="8">
        <f>YEAR(Table13[[#This Row],[release_date]])</f>
        <v>2017</v>
      </c>
      <c r="R352" s="8">
        <f>ROUND(Table13[[#This Row],[duration_ms]]/60000,2)</f>
        <v>3.89</v>
      </c>
      <c r="S352" s="8" t="str">
        <f>IF(Table13[[#This Row],[valence]]&gt;=0.6, "Happy", IF(Table13[[#This Row],[valence]]&gt;=0.4, "Neutral", "Sad"))</f>
        <v>Sad</v>
      </c>
      <c r="T352" s="8" t="str">
        <f>IF(Table13[[#This Row],[energy]]&gt;=0.7, "High Energy", IF(Table13[[#This Row],[energy]]&gt;=0.4, "Medium Energy", "Low Energy"))</f>
        <v>Medium Energy</v>
      </c>
      <c r="U352" s="17" t="str">
        <f>IF(Table13[[#This Row],[popularity]]&gt;70, "Popular", IF(Table13[[#This Row],[popularity]]&lt;40, "Less Popular", "Mid"))</f>
        <v>Popular</v>
      </c>
    </row>
    <row r="353" spans="2:21" x14ac:dyDescent="0.3">
      <c r="B353" s="8" t="s">
        <v>469</v>
      </c>
      <c r="C353" s="8" t="s">
        <v>452</v>
      </c>
      <c r="D353" s="9">
        <v>43049</v>
      </c>
      <c r="E353" s="8">
        <v>10</v>
      </c>
      <c r="F353" s="8" t="s">
        <v>470</v>
      </c>
      <c r="G353" s="8">
        <v>0.46875</v>
      </c>
      <c r="H353" s="8">
        <v>0.48819444444444443</v>
      </c>
      <c r="I353" s="8" t="s">
        <v>471</v>
      </c>
      <c r="J353" s="8">
        <v>0.27152777777777776</v>
      </c>
      <c r="K353" s="10">
        <v>-7902</v>
      </c>
      <c r="L353" s="8">
        <v>0.26527777777777778</v>
      </c>
      <c r="M353" s="14">
        <v>4.584027777777778</v>
      </c>
      <c r="N353" s="8">
        <v>0.21805555555555556</v>
      </c>
      <c r="O353" s="8">
        <v>72</v>
      </c>
      <c r="P353" s="8">
        <v>214320</v>
      </c>
      <c r="Q353" s="8">
        <f>YEAR(Table13[[#This Row],[release_date]])</f>
        <v>2017</v>
      </c>
      <c r="R353" s="8">
        <f>ROUND(Table13[[#This Row],[duration_ms]]/60000,2)</f>
        <v>3.57</v>
      </c>
      <c r="S353" s="8" t="str">
        <f>IF(Table13[[#This Row],[valence]]&gt;=0.6, "Happy", IF(Table13[[#This Row],[valence]]&gt;=0.4, "Neutral", "Sad"))</f>
        <v>Sad</v>
      </c>
      <c r="T353" s="8" t="str">
        <f>IF(Table13[[#This Row],[energy]]&gt;=0.7, "High Energy", IF(Table13[[#This Row],[energy]]&gt;=0.4, "Medium Energy", "Low Energy"))</f>
        <v>Medium Energy</v>
      </c>
      <c r="U353" s="17" t="str">
        <f>IF(Table13[[#This Row],[popularity]]&gt;70, "Popular", IF(Table13[[#This Row],[popularity]]&lt;40, "Less Popular", "Mid"))</f>
        <v>Popular</v>
      </c>
    </row>
    <row r="354" spans="2:21" x14ac:dyDescent="0.3">
      <c r="B354" s="8" t="s">
        <v>472</v>
      </c>
      <c r="C354" s="8" t="s">
        <v>452</v>
      </c>
      <c r="D354" s="9">
        <v>43049</v>
      </c>
      <c r="E354" s="8">
        <v>11</v>
      </c>
      <c r="F354" s="8">
        <v>0.41944444444444445</v>
      </c>
      <c r="G354" s="8">
        <v>0.43333333333333335</v>
      </c>
      <c r="H354" s="8">
        <v>0.47986111111111113</v>
      </c>
      <c r="I354" s="8" t="s">
        <v>96</v>
      </c>
      <c r="J354" s="8">
        <v>9.5833333333333326E-2</v>
      </c>
      <c r="K354" s="10">
        <v>-6686</v>
      </c>
      <c r="L354" s="8">
        <v>0.1361111111111111</v>
      </c>
      <c r="M354" s="10">
        <v>160024</v>
      </c>
      <c r="N354" s="8">
        <v>0.19722222222222222</v>
      </c>
      <c r="O354" s="8">
        <v>72</v>
      </c>
      <c r="P354" s="8">
        <v>211506</v>
      </c>
      <c r="Q354" s="8">
        <f>YEAR(Table13[[#This Row],[release_date]])</f>
        <v>2017</v>
      </c>
      <c r="R354" s="8">
        <f>ROUND(Table13[[#This Row],[duration_ms]]/60000,2)</f>
        <v>3.53</v>
      </c>
      <c r="S354" s="8" t="str">
        <f>IF(Table13[[#This Row],[valence]]&gt;=0.6, "Happy", IF(Table13[[#This Row],[valence]]&gt;=0.4, "Neutral", "Sad"))</f>
        <v>Sad</v>
      </c>
      <c r="T354" s="8" t="str">
        <f>IF(Table13[[#This Row],[energy]]&gt;=0.7, "High Energy", IF(Table13[[#This Row],[energy]]&gt;=0.4, "Medium Energy", "Low Energy"))</f>
        <v>Medium Energy</v>
      </c>
      <c r="U354" s="17" t="str">
        <f>IF(Table13[[#This Row],[popularity]]&gt;70, "Popular", IF(Table13[[#This Row],[popularity]]&lt;40, "Less Popular", "Mid"))</f>
        <v>Popular</v>
      </c>
    </row>
    <row r="355" spans="2:21" x14ac:dyDescent="0.3">
      <c r="B355" s="8" t="s">
        <v>473</v>
      </c>
      <c r="C355" s="8" t="s">
        <v>452</v>
      </c>
      <c r="D355" s="9">
        <v>43049</v>
      </c>
      <c r="E355" s="8">
        <v>12</v>
      </c>
      <c r="F355" s="8">
        <v>0.22847222222222222</v>
      </c>
      <c r="G355" s="8">
        <v>0.4993055555555555</v>
      </c>
      <c r="H355" s="8">
        <v>0.32569444444444445</v>
      </c>
      <c r="I355" s="11">
        <v>0</v>
      </c>
      <c r="J355" s="8">
        <v>0.11736111111111112</v>
      </c>
      <c r="K355" s="10">
        <v>-8792</v>
      </c>
      <c r="L355" s="8">
        <v>0.37013888888888885</v>
      </c>
      <c r="M355" s="10">
        <v>120085</v>
      </c>
      <c r="N355" s="8">
        <v>0.59097222222222223</v>
      </c>
      <c r="O355" s="8">
        <v>75</v>
      </c>
      <c r="P355" s="8">
        <v>230373</v>
      </c>
      <c r="Q355" s="8">
        <f>YEAR(Table13[[#This Row],[release_date]])</f>
        <v>2017</v>
      </c>
      <c r="R355" s="8">
        <f>ROUND(Table13[[#This Row],[duration_ms]]/60000,2)</f>
        <v>3.84</v>
      </c>
      <c r="S355" s="8" t="str">
        <f>IF(Table13[[#This Row],[valence]]&gt;=0.6, "Happy", IF(Table13[[#This Row],[valence]]&gt;=0.4, "Neutral", "Sad"))</f>
        <v>Neutral</v>
      </c>
      <c r="T355" s="8" t="str">
        <f>IF(Table13[[#This Row],[energy]]&gt;=0.7, "High Energy", IF(Table13[[#This Row],[energy]]&gt;=0.4, "Medium Energy", "Low Energy"))</f>
        <v>Low Energy</v>
      </c>
      <c r="U355" s="17" t="str">
        <f>IF(Table13[[#This Row],[popularity]]&gt;70, "Popular", IF(Table13[[#This Row],[popularity]]&lt;40, "Less Popular", "Mid"))</f>
        <v>Popular</v>
      </c>
    </row>
    <row r="356" spans="2:21" x14ac:dyDescent="0.3">
      <c r="B356" s="8" t="s">
        <v>474</v>
      </c>
      <c r="C356" s="8" t="s">
        <v>452</v>
      </c>
      <c r="D356" s="9">
        <v>43049</v>
      </c>
      <c r="E356" s="8">
        <v>13</v>
      </c>
      <c r="F356" s="8">
        <v>0.10833333333333334</v>
      </c>
      <c r="G356" s="8">
        <v>0.39374999999999999</v>
      </c>
      <c r="H356" s="8">
        <v>0.54791666666666672</v>
      </c>
      <c r="I356" s="11">
        <v>0</v>
      </c>
      <c r="J356" s="8">
        <v>0.26527777777777778</v>
      </c>
      <c r="K356" s="10">
        <v>-5986</v>
      </c>
      <c r="L356" s="8">
        <v>7.9861111111111119E-2</v>
      </c>
      <c r="M356" s="8" t="s">
        <v>475</v>
      </c>
      <c r="N356" s="8">
        <v>0.30416666666666664</v>
      </c>
      <c r="O356" s="8">
        <v>70</v>
      </c>
      <c r="P356" s="8">
        <v>207133</v>
      </c>
      <c r="Q356" s="8">
        <f>YEAR(Table13[[#This Row],[release_date]])</f>
        <v>2017</v>
      </c>
      <c r="R356" s="8">
        <f>ROUND(Table13[[#This Row],[duration_ms]]/60000,2)</f>
        <v>3.45</v>
      </c>
      <c r="S356" s="8" t="str">
        <f>IF(Table13[[#This Row],[valence]]&gt;=0.6, "Happy", IF(Table13[[#This Row],[valence]]&gt;=0.4, "Neutral", "Sad"))</f>
        <v>Sad</v>
      </c>
      <c r="T356" s="8" t="str">
        <f>IF(Table13[[#This Row],[energy]]&gt;=0.7, "High Energy", IF(Table13[[#This Row],[energy]]&gt;=0.4, "Medium Energy", "Low Energy"))</f>
        <v>Medium Energy</v>
      </c>
      <c r="U356" s="17" t="str">
        <f>IF(Table13[[#This Row],[popularity]]&gt;70, "Popular", IF(Table13[[#This Row],[popularity]]&lt;40, "Less Popular", "Mid"))</f>
        <v>Mid</v>
      </c>
    </row>
    <row r="357" spans="2:21" x14ac:dyDescent="0.3">
      <c r="B357" s="8" t="s">
        <v>476</v>
      </c>
      <c r="C357" s="8" t="s">
        <v>452</v>
      </c>
      <c r="D357" s="9">
        <v>43049</v>
      </c>
      <c r="E357" s="8">
        <v>14</v>
      </c>
      <c r="F357" s="8">
        <v>0.12916666666666668</v>
      </c>
      <c r="G357" s="8">
        <v>0.4152777777777778</v>
      </c>
      <c r="H357" s="8">
        <v>0.35000000000000003</v>
      </c>
      <c r="I357" s="8" t="s">
        <v>477</v>
      </c>
      <c r="J357" s="11">
        <v>2.361111111111111E-2</v>
      </c>
      <c r="K357" s="10">
        <v>-9874</v>
      </c>
      <c r="L357" s="8">
        <v>0.50763888888888886</v>
      </c>
      <c r="M357" s="10">
        <v>163954</v>
      </c>
      <c r="N357" s="8">
        <v>0.17500000000000002</v>
      </c>
      <c r="O357" s="8">
        <v>75</v>
      </c>
      <c r="P357" s="8">
        <v>203506</v>
      </c>
      <c r="Q357" s="8">
        <f>YEAR(Table13[[#This Row],[release_date]])</f>
        <v>2017</v>
      </c>
      <c r="R357" s="8">
        <f>ROUND(Table13[[#This Row],[duration_ms]]/60000,2)</f>
        <v>3.39</v>
      </c>
      <c r="S357" s="8" t="str">
        <f>IF(Table13[[#This Row],[valence]]&gt;=0.6, "Happy", IF(Table13[[#This Row],[valence]]&gt;=0.4, "Neutral", "Sad"))</f>
        <v>Sad</v>
      </c>
      <c r="T357" s="8" t="str">
        <f>IF(Table13[[#This Row],[energy]]&gt;=0.7, "High Energy", IF(Table13[[#This Row],[energy]]&gt;=0.4, "Medium Energy", "Low Energy"))</f>
        <v>Low Energy</v>
      </c>
      <c r="U357" s="17" t="str">
        <f>IF(Table13[[#This Row],[popularity]]&gt;70, "Popular", IF(Table13[[#This Row],[popularity]]&lt;40, "Less Popular", "Mid"))</f>
        <v>Popular</v>
      </c>
    </row>
    <row r="358" spans="2:21" x14ac:dyDescent="0.3">
      <c r="B358" s="8" t="s">
        <v>478</v>
      </c>
      <c r="C358" s="8" t="s">
        <v>452</v>
      </c>
      <c r="D358" s="9">
        <v>43049</v>
      </c>
      <c r="E358" s="8">
        <v>15</v>
      </c>
      <c r="F358" s="8">
        <v>0.63958333333333328</v>
      </c>
      <c r="G358" s="8">
        <v>0.45902777777777781</v>
      </c>
      <c r="H358" s="8">
        <v>0.10486111111111111</v>
      </c>
      <c r="I358" s="11">
        <v>0</v>
      </c>
      <c r="J358" s="11">
        <v>9.0277777777777787E-3</v>
      </c>
      <c r="K358" s="10">
        <v>-12864</v>
      </c>
      <c r="L358" s="8">
        <v>0.24583333333333335</v>
      </c>
      <c r="M358" s="10">
        <v>94922</v>
      </c>
      <c r="N358" s="11">
        <v>1.5972222222222224E-2</v>
      </c>
      <c r="O358" s="8">
        <v>70</v>
      </c>
      <c r="P358" s="8">
        <v>235466</v>
      </c>
      <c r="Q358" s="8">
        <f>YEAR(Table13[[#This Row],[release_date]])</f>
        <v>2017</v>
      </c>
      <c r="R358" s="8">
        <f>ROUND(Table13[[#This Row],[duration_ms]]/60000,2)</f>
        <v>3.92</v>
      </c>
      <c r="S358" s="8" t="str">
        <f>IF(Table13[[#This Row],[valence]]&gt;=0.6, "Happy", IF(Table13[[#This Row],[valence]]&gt;=0.4, "Neutral", "Sad"))</f>
        <v>Sad</v>
      </c>
      <c r="T358" s="8" t="str">
        <f>IF(Table13[[#This Row],[energy]]&gt;=0.7, "High Energy", IF(Table13[[#This Row],[energy]]&gt;=0.4, "Medium Energy", "Low Energy"))</f>
        <v>Low Energy</v>
      </c>
      <c r="U358" s="17" t="str">
        <f>IF(Table13[[#This Row],[popularity]]&gt;70, "Popular", IF(Table13[[#This Row],[popularity]]&lt;40, "Less Popular", "Mid"))</f>
        <v>Mid</v>
      </c>
    </row>
    <row r="359" spans="2:21" x14ac:dyDescent="0.3">
      <c r="B359" s="8" t="s">
        <v>479</v>
      </c>
      <c r="C359" s="8" t="s">
        <v>480</v>
      </c>
      <c r="D359" s="9">
        <v>43048</v>
      </c>
      <c r="E359" s="8">
        <v>1</v>
      </c>
      <c r="F359" s="8">
        <v>0.31111111111111112</v>
      </c>
      <c r="G359" s="8">
        <v>0.3215277777777778</v>
      </c>
      <c r="H359" s="8">
        <v>0.4201388888888889</v>
      </c>
      <c r="I359" s="8" t="s">
        <v>481</v>
      </c>
      <c r="J359" s="8">
        <v>8.8888888888888892E-2</v>
      </c>
      <c r="K359" s="10">
        <v>-7803</v>
      </c>
      <c r="L359" s="8">
        <v>0.20347222222222225</v>
      </c>
      <c r="M359" s="10">
        <v>186113</v>
      </c>
      <c r="N359" s="8">
        <v>0.22013888888888888</v>
      </c>
      <c r="O359" s="8">
        <v>35</v>
      </c>
      <c r="P359" s="8">
        <v>329160</v>
      </c>
      <c r="Q359" s="8">
        <f>YEAR(Table13[[#This Row],[release_date]])</f>
        <v>2017</v>
      </c>
      <c r="R359" s="8">
        <f>ROUND(Table13[[#This Row],[duration_ms]]/60000,2)</f>
        <v>5.49</v>
      </c>
      <c r="S359" s="8" t="str">
        <f>IF(Table13[[#This Row],[valence]]&gt;=0.6, "Happy", IF(Table13[[#This Row],[valence]]&gt;=0.4, "Neutral", "Sad"))</f>
        <v>Sad</v>
      </c>
      <c r="T359" s="8" t="str">
        <f>IF(Table13[[#This Row],[energy]]&gt;=0.7, "High Energy", IF(Table13[[#This Row],[energy]]&gt;=0.4, "Medium Energy", "Low Energy"))</f>
        <v>Medium Energy</v>
      </c>
      <c r="U359" s="17" t="str">
        <f>IF(Table13[[#This Row],[popularity]]&gt;70, "Popular", IF(Table13[[#This Row],[popularity]]&lt;40, "Less Popular", "Mid"))</f>
        <v>Less Popular</v>
      </c>
    </row>
    <row r="360" spans="2:21" x14ac:dyDescent="0.3">
      <c r="B360" s="8" t="s">
        <v>482</v>
      </c>
      <c r="C360" s="8" t="s">
        <v>480</v>
      </c>
      <c r="D360" s="9">
        <v>43048</v>
      </c>
      <c r="E360" s="8">
        <v>2</v>
      </c>
      <c r="F360" s="8">
        <v>0.48819444444444443</v>
      </c>
      <c r="G360" s="11">
        <v>3.8194444444444441E-2</v>
      </c>
      <c r="H360" s="8">
        <v>0.4777777777777778</v>
      </c>
      <c r="I360" s="8" t="s">
        <v>483</v>
      </c>
      <c r="J360" s="8">
        <v>7.3611111111111113E-2</v>
      </c>
      <c r="K360" s="10">
        <v>-7416</v>
      </c>
      <c r="L360" s="8">
        <v>0.62777777777777777</v>
      </c>
      <c r="M360" s="10">
        <v>139998</v>
      </c>
      <c r="N360" s="8">
        <v>0.32013888888888892</v>
      </c>
      <c r="O360" s="8">
        <v>38</v>
      </c>
      <c r="P360" s="8">
        <v>220440</v>
      </c>
      <c r="Q360" s="8">
        <f>YEAR(Table13[[#This Row],[release_date]])</f>
        <v>2017</v>
      </c>
      <c r="R360" s="8">
        <f>ROUND(Table13[[#This Row],[duration_ms]]/60000,2)</f>
        <v>3.67</v>
      </c>
      <c r="S360" s="8" t="str">
        <f>IF(Table13[[#This Row],[valence]]&gt;=0.6, "Happy", IF(Table13[[#This Row],[valence]]&gt;=0.4, "Neutral", "Sad"))</f>
        <v>Sad</v>
      </c>
      <c r="T360" s="8" t="str">
        <f>IF(Table13[[#This Row],[energy]]&gt;=0.7, "High Energy", IF(Table13[[#This Row],[energy]]&gt;=0.4, "Medium Energy", "Low Energy"))</f>
        <v>Medium Energy</v>
      </c>
      <c r="U360" s="17" t="str">
        <f>IF(Table13[[#This Row],[popularity]]&gt;70, "Popular", IF(Table13[[#This Row],[popularity]]&lt;40, "Less Popular", "Mid"))</f>
        <v>Less Popular</v>
      </c>
    </row>
    <row r="361" spans="2:21" x14ac:dyDescent="0.3">
      <c r="B361" s="8" t="s">
        <v>484</v>
      </c>
      <c r="C361" s="8" t="s">
        <v>480</v>
      </c>
      <c r="D361" s="9">
        <v>43048</v>
      </c>
      <c r="E361" s="8">
        <v>3</v>
      </c>
      <c r="F361" s="8">
        <v>0.44305555555555554</v>
      </c>
      <c r="G361" s="8">
        <v>0.46388888888888885</v>
      </c>
      <c r="H361" s="8">
        <v>0.31111111111111112</v>
      </c>
      <c r="I361" s="8" t="s">
        <v>485</v>
      </c>
      <c r="J361" s="8">
        <v>0.10972222222222222</v>
      </c>
      <c r="K361" s="10">
        <v>-8567</v>
      </c>
      <c r="L361" s="8">
        <v>0.19791666666666666</v>
      </c>
      <c r="M361" s="10">
        <v>126066</v>
      </c>
      <c r="N361" s="8">
        <v>0.26805555555555555</v>
      </c>
      <c r="O361" s="8">
        <v>30</v>
      </c>
      <c r="P361" s="8">
        <v>246306</v>
      </c>
      <c r="Q361" s="8">
        <f>YEAR(Table13[[#This Row],[release_date]])</f>
        <v>2017</v>
      </c>
      <c r="R361" s="8">
        <f>ROUND(Table13[[#This Row],[duration_ms]]/60000,2)</f>
        <v>4.1100000000000003</v>
      </c>
      <c r="S361" s="8" t="str">
        <f>IF(Table13[[#This Row],[valence]]&gt;=0.6, "Happy", IF(Table13[[#This Row],[valence]]&gt;=0.4, "Neutral", "Sad"))</f>
        <v>Sad</v>
      </c>
      <c r="T361" s="8" t="str">
        <f>IF(Table13[[#This Row],[energy]]&gt;=0.7, "High Energy", IF(Table13[[#This Row],[energy]]&gt;=0.4, "Medium Energy", "Low Energy"))</f>
        <v>Low Energy</v>
      </c>
      <c r="U361" s="17" t="str">
        <f>IF(Table13[[#This Row],[popularity]]&gt;70, "Popular", IF(Table13[[#This Row],[popularity]]&lt;40, "Less Popular", "Mid"))</f>
        <v>Less Popular</v>
      </c>
    </row>
    <row r="362" spans="2:21" x14ac:dyDescent="0.3">
      <c r="B362" s="8" t="s">
        <v>486</v>
      </c>
      <c r="C362" s="8" t="s">
        <v>480</v>
      </c>
      <c r="D362" s="9">
        <v>43048</v>
      </c>
      <c r="E362" s="8">
        <v>4</v>
      </c>
      <c r="F362" s="8">
        <v>0.54097222222222219</v>
      </c>
      <c r="G362" s="8">
        <v>0.4201388888888889</v>
      </c>
      <c r="H362" s="8">
        <v>0.62430555555555556</v>
      </c>
      <c r="I362" s="8" t="s">
        <v>487</v>
      </c>
      <c r="J362" s="8">
        <v>0.63263888888888886</v>
      </c>
      <c r="K362" s="10">
        <v>-4273</v>
      </c>
      <c r="L362" s="8">
        <v>0.29375000000000001</v>
      </c>
      <c r="M362" s="10">
        <v>124982</v>
      </c>
      <c r="N362" s="8">
        <v>0.44930555555555557</v>
      </c>
      <c r="O362" s="8">
        <v>33</v>
      </c>
      <c r="P362" s="8">
        <v>223093</v>
      </c>
      <c r="Q362" s="8">
        <f>YEAR(Table13[[#This Row],[release_date]])</f>
        <v>2017</v>
      </c>
      <c r="R362" s="8">
        <f>ROUND(Table13[[#This Row],[duration_ms]]/60000,2)</f>
        <v>3.72</v>
      </c>
      <c r="S362" s="8" t="str">
        <f>IF(Table13[[#This Row],[valence]]&gt;=0.6, "Happy", IF(Table13[[#This Row],[valence]]&gt;=0.4, "Neutral", "Sad"))</f>
        <v>Neutral</v>
      </c>
      <c r="T362" s="8" t="str">
        <f>IF(Table13[[#This Row],[energy]]&gt;=0.7, "High Energy", IF(Table13[[#This Row],[energy]]&gt;=0.4, "Medium Energy", "Low Energy"))</f>
        <v>Medium Energy</v>
      </c>
      <c r="U362" s="17" t="str">
        <f>IF(Table13[[#This Row],[popularity]]&gt;70, "Popular", IF(Table13[[#This Row],[popularity]]&lt;40, "Less Popular", "Mid"))</f>
        <v>Less Popular</v>
      </c>
    </row>
    <row r="363" spans="2:21" x14ac:dyDescent="0.3">
      <c r="B363" s="8" t="s">
        <v>488</v>
      </c>
      <c r="C363" s="8" t="s">
        <v>480</v>
      </c>
      <c r="D363" s="9">
        <v>43048</v>
      </c>
      <c r="E363" s="8">
        <v>5</v>
      </c>
      <c r="F363" s="8">
        <v>0.11041666666666666</v>
      </c>
      <c r="G363" s="8">
        <v>0.43541666666666662</v>
      </c>
      <c r="H363" s="8">
        <v>0.56666666666666665</v>
      </c>
      <c r="I363" s="8" t="s">
        <v>489</v>
      </c>
      <c r="J363" s="8">
        <v>0.67013888888888884</v>
      </c>
      <c r="K363" s="10">
        <v>-6698</v>
      </c>
      <c r="L363" s="8">
        <v>0.53749999999999998</v>
      </c>
      <c r="M363" s="10">
        <v>157043</v>
      </c>
      <c r="N363" s="8">
        <v>0.45</v>
      </c>
      <c r="O363" s="8">
        <v>29</v>
      </c>
      <c r="P363" s="8">
        <v>202960</v>
      </c>
      <c r="Q363" s="8">
        <f>YEAR(Table13[[#This Row],[release_date]])</f>
        <v>2017</v>
      </c>
      <c r="R363" s="8">
        <f>ROUND(Table13[[#This Row],[duration_ms]]/60000,2)</f>
        <v>3.38</v>
      </c>
      <c r="S363" s="8" t="str">
        <f>IF(Table13[[#This Row],[valence]]&gt;=0.6, "Happy", IF(Table13[[#This Row],[valence]]&gt;=0.4, "Neutral", "Sad"))</f>
        <v>Neutral</v>
      </c>
      <c r="T363" s="8" t="str">
        <f>IF(Table13[[#This Row],[energy]]&gt;=0.7, "High Energy", IF(Table13[[#This Row],[energy]]&gt;=0.4, "Medium Energy", "Low Energy"))</f>
        <v>Medium Energy</v>
      </c>
      <c r="U363" s="17" t="str">
        <f>IF(Table13[[#This Row],[popularity]]&gt;70, "Popular", IF(Table13[[#This Row],[popularity]]&lt;40, "Less Popular", "Mid"))</f>
        <v>Less Popular</v>
      </c>
    </row>
    <row r="364" spans="2:21" x14ac:dyDescent="0.3">
      <c r="B364" s="8" t="s">
        <v>490</v>
      </c>
      <c r="C364" s="8" t="s">
        <v>480</v>
      </c>
      <c r="D364" s="9">
        <v>43048</v>
      </c>
      <c r="E364" s="8">
        <v>6</v>
      </c>
      <c r="F364" s="8">
        <v>0.21875</v>
      </c>
      <c r="G364" s="8">
        <v>0.43472222222222223</v>
      </c>
      <c r="H364" s="8">
        <v>0.29652777777777778</v>
      </c>
      <c r="I364" s="11">
        <v>0</v>
      </c>
      <c r="J364" s="8">
        <v>9.5833333333333326E-2</v>
      </c>
      <c r="K364" s="10">
        <v>-6993</v>
      </c>
      <c r="L364" s="8">
        <v>0.16250000000000001</v>
      </c>
      <c r="M364" s="10">
        <v>99962</v>
      </c>
      <c r="N364" s="8">
        <v>0.18402777777777779</v>
      </c>
      <c r="O364" s="8">
        <v>32</v>
      </c>
      <c r="P364" s="8">
        <v>204706</v>
      </c>
      <c r="Q364" s="8">
        <f>YEAR(Table13[[#This Row],[release_date]])</f>
        <v>2017</v>
      </c>
      <c r="R364" s="8">
        <f>ROUND(Table13[[#This Row],[duration_ms]]/60000,2)</f>
        <v>3.41</v>
      </c>
      <c r="S364" s="8" t="str">
        <f>IF(Table13[[#This Row],[valence]]&gt;=0.6, "Happy", IF(Table13[[#This Row],[valence]]&gt;=0.4, "Neutral", "Sad"))</f>
        <v>Sad</v>
      </c>
      <c r="T364" s="8" t="str">
        <f>IF(Table13[[#This Row],[energy]]&gt;=0.7, "High Energy", IF(Table13[[#This Row],[energy]]&gt;=0.4, "Medium Energy", "Low Energy"))</f>
        <v>Low Energy</v>
      </c>
      <c r="U364" s="17" t="str">
        <f>IF(Table13[[#This Row],[popularity]]&gt;70, "Popular", IF(Table13[[#This Row],[popularity]]&lt;40, "Less Popular", "Mid"))</f>
        <v>Less Popular</v>
      </c>
    </row>
    <row r="365" spans="2:21" x14ac:dyDescent="0.3">
      <c r="B365" s="8" t="s">
        <v>491</v>
      </c>
      <c r="C365" s="8" t="s">
        <v>480</v>
      </c>
      <c r="D365" s="9">
        <v>43048</v>
      </c>
      <c r="E365" s="8">
        <v>7</v>
      </c>
      <c r="F365" s="8">
        <v>7.9166666666666663E-2</v>
      </c>
      <c r="G365" s="8">
        <v>0.37847222222222227</v>
      </c>
      <c r="H365" s="8">
        <v>0.4604166666666667</v>
      </c>
      <c r="I365" s="11">
        <v>0</v>
      </c>
      <c r="J365" s="8">
        <v>0.22291666666666665</v>
      </c>
      <c r="K365" s="8" t="s">
        <v>492</v>
      </c>
      <c r="L365" s="8">
        <v>0.25208333333333333</v>
      </c>
      <c r="M365" s="10">
        <v>178016</v>
      </c>
      <c r="N365" s="8">
        <v>0.3923611111111111</v>
      </c>
      <c r="O365" s="8">
        <v>36</v>
      </c>
      <c r="P365" s="8">
        <v>203440</v>
      </c>
      <c r="Q365" s="8">
        <f>YEAR(Table13[[#This Row],[release_date]])</f>
        <v>2017</v>
      </c>
      <c r="R365" s="8">
        <f>ROUND(Table13[[#This Row],[duration_ms]]/60000,2)</f>
        <v>3.39</v>
      </c>
      <c r="S365" s="8" t="str">
        <f>IF(Table13[[#This Row],[valence]]&gt;=0.6, "Happy", IF(Table13[[#This Row],[valence]]&gt;=0.4, "Neutral", "Sad"))</f>
        <v>Sad</v>
      </c>
      <c r="T365" s="8" t="str">
        <f>IF(Table13[[#This Row],[energy]]&gt;=0.7, "High Energy", IF(Table13[[#This Row],[energy]]&gt;=0.4, "Medium Energy", "Low Energy"))</f>
        <v>Medium Energy</v>
      </c>
      <c r="U365" s="17" t="str">
        <f>IF(Table13[[#This Row],[popularity]]&gt;70, "Popular", IF(Table13[[#This Row],[popularity]]&lt;40, "Less Popular", "Mid"))</f>
        <v>Less Popular</v>
      </c>
    </row>
    <row r="366" spans="2:21" x14ac:dyDescent="0.3">
      <c r="B366" s="8">
        <v>22</v>
      </c>
      <c r="C366" s="8" t="s">
        <v>480</v>
      </c>
      <c r="D366" s="9">
        <v>43048</v>
      </c>
      <c r="E366" s="8">
        <v>8</v>
      </c>
      <c r="F366" s="8" t="s">
        <v>493</v>
      </c>
      <c r="G366" s="8">
        <v>4.5833333333333337E-2</v>
      </c>
      <c r="H366" s="8">
        <v>0.5083333333333333</v>
      </c>
      <c r="I366" s="8" t="s">
        <v>494</v>
      </c>
      <c r="J366" s="8">
        <v>0.32847222222222222</v>
      </c>
      <c r="K366" s="10">
        <v>-6565</v>
      </c>
      <c r="L366" s="8">
        <v>0.26319444444444445</v>
      </c>
      <c r="M366" s="10">
        <v>104009</v>
      </c>
      <c r="N366" s="8">
        <v>0.47013888888888888</v>
      </c>
      <c r="O366" s="8">
        <v>35</v>
      </c>
      <c r="P366" s="8">
        <v>232120</v>
      </c>
      <c r="Q366" s="8">
        <f>YEAR(Table13[[#This Row],[release_date]])</f>
        <v>2017</v>
      </c>
      <c r="R366" s="8">
        <f>ROUND(Table13[[#This Row],[duration_ms]]/60000,2)</f>
        <v>3.87</v>
      </c>
      <c r="S366" s="8" t="str">
        <f>IF(Table13[[#This Row],[valence]]&gt;=0.6, "Happy", IF(Table13[[#This Row],[valence]]&gt;=0.4, "Neutral", "Sad"))</f>
        <v>Neutral</v>
      </c>
      <c r="T366" s="8" t="str">
        <f>IF(Table13[[#This Row],[energy]]&gt;=0.7, "High Energy", IF(Table13[[#This Row],[energy]]&gt;=0.4, "Medium Energy", "Low Energy"))</f>
        <v>Medium Energy</v>
      </c>
      <c r="U366" s="17" t="str">
        <f>IF(Table13[[#This Row],[popularity]]&gt;70, "Popular", IF(Table13[[#This Row],[popularity]]&lt;40, "Less Popular", "Mid"))</f>
        <v>Less Popular</v>
      </c>
    </row>
    <row r="367" spans="2:21" x14ac:dyDescent="0.3">
      <c r="B367" s="8" t="s">
        <v>495</v>
      </c>
      <c r="C367" s="8" t="s">
        <v>480</v>
      </c>
      <c r="D367" s="9">
        <v>43048</v>
      </c>
      <c r="E367" s="8">
        <v>9</v>
      </c>
      <c r="F367" s="8" t="s">
        <v>496</v>
      </c>
      <c r="G367" s="8">
        <v>0.37222222222222223</v>
      </c>
      <c r="H367" s="8">
        <v>0.32222222222222224</v>
      </c>
      <c r="I367" s="8" t="s">
        <v>497</v>
      </c>
      <c r="J367" s="8">
        <v>0.24861111111111112</v>
      </c>
      <c r="K367" s="10">
        <v>-6761</v>
      </c>
      <c r="L367" s="8">
        <v>0.28611111111111109</v>
      </c>
      <c r="M367" s="10">
        <v>77318</v>
      </c>
      <c r="N367" s="8">
        <v>0.46249999999999997</v>
      </c>
      <c r="O367" s="8">
        <v>36</v>
      </c>
      <c r="P367" s="8">
        <v>219720</v>
      </c>
      <c r="Q367" s="8">
        <f>YEAR(Table13[[#This Row],[release_date]])</f>
        <v>2017</v>
      </c>
      <c r="R367" s="8">
        <f>ROUND(Table13[[#This Row],[duration_ms]]/60000,2)</f>
        <v>3.66</v>
      </c>
      <c r="S367" s="8" t="str">
        <f>IF(Table13[[#This Row],[valence]]&gt;=0.6, "Happy", IF(Table13[[#This Row],[valence]]&gt;=0.4, "Neutral", "Sad"))</f>
        <v>Neutral</v>
      </c>
      <c r="T367" s="8" t="str">
        <f>IF(Table13[[#This Row],[energy]]&gt;=0.7, "High Energy", IF(Table13[[#This Row],[energy]]&gt;=0.4, "Medium Energy", "Low Energy"))</f>
        <v>Low Energy</v>
      </c>
      <c r="U367" s="17" t="str">
        <f>IF(Table13[[#This Row],[popularity]]&gt;70, "Popular", IF(Table13[[#This Row],[popularity]]&lt;40, "Less Popular", "Mid"))</f>
        <v>Less Popular</v>
      </c>
    </row>
    <row r="368" spans="2:21" x14ac:dyDescent="0.3">
      <c r="B368" s="8" t="s">
        <v>498</v>
      </c>
      <c r="C368" s="8" t="s">
        <v>480</v>
      </c>
      <c r="D368" s="9">
        <v>43048</v>
      </c>
      <c r="E368" s="8">
        <v>10</v>
      </c>
      <c r="F368" s="8" t="s">
        <v>499</v>
      </c>
      <c r="G368" s="8">
        <v>5.0694444444444438E-2</v>
      </c>
      <c r="H368" s="8">
        <v>0.30833333333333335</v>
      </c>
      <c r="I368" s="8" t="s">
        <v>500</v>
      </c>
      <c r="J368" s="11">
        <v>9.7222222222222224E-3</v>
      </c>
      <c r="K368" s="10">
        <v>-8418</v>
      </c>
      <c r="L368" s="8">
        <v>0.37361111111111112</v>
      </c>
      <c r="M368" s="10">
        <v>117979</v>
      </c>
      <c r="N368" s="8">
        <v>7.3611111111111113E-2</v>
      </c>
      <c r="O368" s="8">
        <v>79</v>
      </c>
      <c r="P368" s="8">
        <v>247160</v>
      </c>
      <c r="Q368" s="8">
        <f>YEAR(Table13[[#This Row],[release_date]])</f>
        <v>2017</v>
      </c>
      <c r="R368" s="8">
        <f>ROUND(Table13[[#This Row],[duration_ms]]/60000,2)</f>
        <v>4.12</v>
      </c>
      <c r="S368" s="8" t="str">
        <f>IF(Table13[[#This Row],[valence]]&gt;=0.6, "Happy", IF(Table13[[#This Row],[valence]]&gt;=0.4, "Neutral", "Sad"))</f>
        <v>Sad</v>
      </c>
      <c r="T368" s="8" t="str">
        <f>IF(Table13[[#This Row],[energy]]&gt;=0.7, "High Energy", IF(Table13[[#This Row],[energy]]&gt;=0.4, "Medium Energy", "Low Energy"))</f>
        <v>Low Energy</v>
      </c>
      <c r="U368" s="17" t="str">
        <f>IF(Table13[[#This Row],[popularity]]&gt;70, "Popular", IF(Table13[[#This Row],[popularity]]&lt;40, "Less Popular", "Mid"))</f>
        <v>Popular</v>
      </c>
    </row>
    <row r="369" spans="2:21" x14ac:dyDescent="0.3">
      <c r="B369" s="8" t="s">
        <v>501</v>
      </c>
      <c r="C369" s="8" t="s">
        <v>480</v>
      </c>
      <c r="D369" s="9">
        <v>43048</v>
      </c>
      <c r="E369" s="8">
        <v>11</v>
      </c>
      <c r="F369" s="8">
        <v>0.31180555555555556</v>
      </c>
      <c r="G369" s="8">
        <v>0.39999999999999997</v>
      </c>
      <c r="H369" s="8">
        <v>0.52430555555555558</v>
      </c>
      <c r="I369" s="11">
        <v>0</v>
      </c>
      <c r="J369" s="8">
        <v>0.15486111111111112</v>
      </c>
      <c r="K369" s="10">
        <v>-3982</v>
      </c>
      <c r="L369" s="8">
        <v>0.29652777777777778</v>
      </c>
      <c r="M369" s="10">
        <v>163884</v>
      </c>
      <c r="N369" s="8">
        <v>0.5493055555555556</v>
      </c>
      <c r="O369" s="8">
        <v>32</v>
      </c>
      <c r="P369" s="8">
        <v>238693</v>
      </c>
      <c r="Q369" s="8">
        <f>YEAR(Table13[[#This Row],[release_date]])</f>
        <v>2017</v>
      </c>
      <c r="R369" s="8">
        <f>ROUND(Table13[[#This Row],[duration_ms]]/60000,2)</f>
        <v>3.98</v>
      </c>
      <c r="S369" s="8" t="str">
        <f>IF(Table13[[#This Row],[valence]]&gt;=0.6, "Happy", IF(Table13[[#This Row],[valence]]&gt;=0.4, "Neutral", "Sad"))</f>
        <v>Neutral</v>
      </c>
      <c r="T369" s="8" t="str">
        <f>IF(Table13[[#This Row],[energy]]&gt;=0.7, "High Energy", IF(Table13[[#This Row],[energy]]&gt;=0.4, "Medium Energy", "Low Energy"))</f>
        <v>Medium Energy</v>
      </c>
      <c r="U369" s="17" t="str">
        <f>IF(Table13[[#This Row],[popularity]]&gt;70, "Popular", IF(Table13[[#This Row],[popularity]]&lt;40, "Less Popular", "Mid"))</f>
        <v>Less Popular</v>
      </c>
    </row>
    <row r="370" spans="2:21" x14ac:dyDescent="0.3">
      <c r="B370" s="8" t="s">
        <v>502</v>
      </c>
      <c r="C370" s="8" t="s">
        <v>480</v>
      </c>
      <c r="D370" s="9">
        <v>43048</v>
      </c>
      <c r="E370" s="8">
        <v>12</v>
      </c>
      <c r="F370" s="8" t="s">
        <v>503</v>
      </c>
      <c r="G370" s="8">
        <v>0.53055555555555556</v>
      </c>
      <c r="H370" s="8">
        <v>0.45624999999999999</v>
      </c>
      <c r="I370" s="8" t="s">
        <v>504</v>
      </c>
      <c r="J370" s="8">
        <v>0.63750000000000007</v>
      </c>
      <c r="K370" s="10">
        <v>-6112</v>
      </c>
      <c r="L370" s="8">
        <v>0.34930555555555554</v>
      </c>
      <c r="M370" s="10">
        <v>119995</v>
      </c>
      <c r="N370" s="8">
        <v>0.37916666666666665</v>
      </c>
      <c r="O370" s="8">
        <v>31</v>
      </c>
      <c r="P370" s="8">
        <v>247533</v>
      </c>
      <c r="Q370" s="8">
        <f>YEAR(Table13[[#This Row],[release_date]])</f>
        <v>2017</v>
      </c>
      <c r="R370" s="8">
        <f>ROUND(Table13[[#This Row],[duration_ms]]/60000,2)</f>
        <v>4.13</v>
      </c>
      <c r="S370" s="8" t="str">
        <f>IF(Table13[[#This Row],[valence]]&gt;=0.6, "Happy", IF(Table13[[#This Row],[valence]]&gt;=0.4, "Neutral", "Sad"))</f>
        <v>Sad</v>
      </c>
      <c r="T370" s="8" t="str">
        <f>IF(Table13[[#This Row],[energy]]&gt;=0.7, "High Energy", IF(Table13[[#This Row],[energy]]&gt;=0.4, "Medium Energy", "Low Energy"))</f>
        <v>Medium Energy</v>
      </c>
      <c r="U370" s="17" t="str">
        <f>IF(Table13[[#This Row],[popularity]]&gt;70, "Popular", IF(Table13[[#This Row],[popularity]]&lt;40, "Less Popular", "Mid"))</f>
        <v>Less Popular</v>
      </c>
    </row>
    <row r="371" spans="2:21" x14ac:dyDescent="0.3">
      <c r="B371" s="8" t="s">
        <v>463</v>
      </c>
      <c r="C371" s="8" t="s">
        <v>480</v>
      </c>
      <c r="D371" s="9">
        <v>43048</v>
      </c>
      <c r="E371" s="8">
        <v>13</v>
      </c>
      <c r="F371" s="8">
        <v>8.4722222222222213E-2</v>
      </c>
      <c r="G371" s="8">
        <v>0.40138888888888885</v>
      </c>
      <c r="H371" s="8">
        <v>4.2361111111111106E-2</v>
      </c>
      <c r="I371" s="8" t="s">
        <v>464</v>
      </c>
      <c r="J371" s="11">
        <v>9.0277777777777787E-3</v>
      </c>
      <c r="K371" s="10">
        <v>-7283</v>
      </c>
      <c r="L371" s="8">
        <v>0.4694444444444445</v>
      </c>
      <c r="M371" s="10">
        <v>74996</v>
      </c>
      <c r="N371" s="8">
        <v>0.25763888888888892</v>
      </c>
      <c r="O371" s="8">
        <v>54</v>
      </c>
      <c r="P371" s="8">
        <v>227906</v>
      </c>
      <c r="Q371" s="8">
        <f>YEAR(Table13[[#This Row],[release_date]])</f>
        <v>2017</v>
      </c>
      <c r="R371" s="8">
        <f>ROUND(Table13[[#This Row],[duration_ms]]/60000,2)</f>
        <v>3.8</v>
      </c>
      <c r="S371" s="8" t="str">
        <f>IF(Table13[[#This Row],[valence]]&gt;=0.6, "Happy", IF(Table13[[#This Row],[valence]]&gt;=0.4, "Neutral", "Sad"))</f>
        <v>Sad</v>
      </c>
      <c r="T371" s="8" t="str">
        <f>IF(Table13[[#This Row],[energy]]&gt;=0.7, "High Energy", IF(Table13[[#This Row],[energy]]&gt;=0.4, "Medium Energy", "Low Energy"))</f>
        <v>Low Energy</v>
      </c>
      <c r="U371" s="17" t="str">
        <f>IF(Table13[[#This Row],[popularity]]&gt;70, "Popular", IF(Table13[[#This Row],[popularity]]&lt;40, "Less Popular", "Mid"))</f>
        <v>Mid</v>
      </c>
    </row>
    <row r="372" spans="2:21" x14ac:dyDescent="0.3">
      <c r="B372" s="8" t="s">
        <v>505</v>
      </c>
      <c r="C372" s="8" t="s">
        <v>480</v>
      </c>
      <c r="D372" s="9">
        <v>43048</v>
      </c>
      <c r="E372" s="8">
        <v>14</v>
      </c>
      <c r="F372" s="11">
        <v>4.8611111111111112E-3</v>
      </c>
      <c r="G372" s="8">
        <v>0.38125000000000003</v>
      </c>
      <c r="H372" s="8">
        <v>4.3750000000000004E-2</v>
      </c>
      <c r="I372" s="11">
        <v>0</v>
      </c>
      <c r="J372" s="8">
        <v>9.5833333333333326E-2</v>
      </c>
      <c r="K372" s="10">
        <v>-4436</v>
      </c>
      <c r="L372" s="8" t="s">
        <v>506</v>
      </c>
      <c r="M372" s="10">
        <v>95124</v>
      </c>
      <c r="N372" s="8">
        <v>0.15069444444444444</v>
      </c>
      <c r="O372" s="8">
        <v>29</v>
      </c>
      <c r="P372" s="8">
        <v>295320</v>
      </c>
      <c r="Q372" s="8">
        <f>YEAR(Table13[[#This Row],[release_date]])</f>
        <v>2017</v>
      </c>
      <c r="R372" s="8">
        <f>ROUND(Table13[[#This Row],[duration_ms]]/60000,2)</f>
        <v>4.92</v>
      </c>
      <c r="S372" s="8" t="str">
        <f>IF(Table13[[#This Row],[valence]]&gt;=0.6, "Happy", IF(Table13[[#This Row],[valence]]&gt;=0.4, "Neutral", "Sad"))</f>
        <v>Sad</v>
      </c>
      <c r="T372" s="8" t="str">
        <f>IF(Table13[[#This Row],[energy]]&gt;=0.7, "High Energy", IF(Table13[[#This Row],[energy]]&gt;=0.4, "Medium Energy", "Low Energy"))</f>
        <v>Low Energy</v>
      </c>
      <c r="U372" s="17" t="str">
        <f>IF(Table13[[#This Row],[popularity]]&gt;70, "Popular", IF(Table13[[#This Row],[popularity]]&lt;40, "Less Popular", "Mid"))</f>
        <v>Less Popular</v>
      </c>
    </row>
    <row r="373" spans="2:21" x14ac:dyDescent="0.3">
      <c r="B373" s="8" t="s">
        <v>507</v>
      </c>
      <c r="C373" s="8" t="s">
        <v>480</v>
      </c>
      <c r="D373" s="9">
        <v>43048</v>
      </c>
      <c r="E373" s="8">
        <v>15</v>
      </c>
      <c r="F373" s="8" t="s">
        <v>508</v>
      </c>
      <c r="G373" s="8">
        <v>0.43194444444444446</v>
      </c>
      <c r="H373" s="8">
        <v>0.54236111111111118</v>
      </c>
      <c r="I373" s="8" t="s">
        <v>509</v>
      </c>
      <c r="J373" s="8">
        <v>0.12986111111111112</v>
      </c>
      <c r="K373" s="10">
        <v>-2945</v>
      </c>
      <c r="L373" s="8">
        <v>0.20972222222222223</v>
      </c>
      <c r="M373" s="10">
        <v>121029</v>
      </c>
      <c r="N373" s="8">
        <v>0.4597222222222222</v>
      </c>
      <c r="O373" s="8">
        <v>37</v>
      </c>
      <c r="P373" s="8">
        <v>231866</v>
      </c>
      <c r="Q373" s="8">
        <f>YEAR(Table13[[#This Row],[release_date]])</f>
        <v>2017</v>
      </c>
      <c r="R373" s="8">
        <f>ROUND(Table13[[#This Row],[duration_ms]]/60000,2)</f>
        <v>3.86</v>
      </c>
      <c r="S373" s="8" t="str">
        <f>IF(Table13[[#This Row],[valence]]&gt;=0.6, "Happy", IF(Table13[[#This Row],[valence]]&gt;=0.4, "Neutral", "Sad"))</f>
        <v>Neutral</v>
      </c>
      <c r="T373" s="8" t="str">
        <f>IF(Table13[[#This Row],[energy]]&gt;=0.7, "High Energy", IF(Table13[[#This Row],[energy]]&gt;=0.4, "Medium Energy", "Low Energy"))</f>
        <v>Medium Energy</v>
      </c>
      <c r="U373" s="17" t="str">
        <f>IF(Table13[[#This Row],[popularity]]&gt;70, "Popular", IF(Table13[[#This Row],[popularity]]&lt;40, "Less Popular", "Mid"))</f>
        <v>Less Popular</v>
      </c>
    </row>
    <row r="374" spans="2:21" x14ac:dyDescent="0.3">
      <c r="B374" s="8" t="s">
        <v>510</v>
      </c>
      <c r="C374" s="8" t="s">
        <v>480</v>
      </c>
      <c r="D374" s="9">
        <v>43048</v>
      </c>
      <c r="E374" s="8">
        <v>16</v>
      </c>
      <c r="F374" s="8" t="s">
        <v>511</v>
      </c>
      <c r="G374" s="8">
        <v>4.2361111111111106E-2</v>
      </c>
      <c r="H374" s="8">
        <v>0.54305555555555551</v>
      </c>
      <c r="I374" s="11">
        <v>0</v>
      </c>
      <c r="J374" s="11">
        <v>1.1111111111111112E-2</v>
      </c>
      <c r="K374" s="8" t="s">
        <v>512</v>
      </c>
      <c r="L374" s="8">
        <v>0.21458333333333335</v>
      </c>
      <c r="M374" s="10">
        <v>114974</v>
      </c>
      <c r="N374" s="8">
        <v>0.27708333333333335</v>
      </c>
      <c r="O374" s="8">
        <v>31</v>
      </c>
      <c r="P374" s="8">
        <v>262920</v>
      </c>
      <c r="Q374" s="8">
        <f>YEAR(Table13[[#This Row],[release_date]])</f>
        <v>2017</v>
      </c>
      <c r="R374" s="8">
        <f>ROUND(Table13[[#This Row],[duration_ms]]/60000,2)</f>
        <v>4.38</v>
      </c>
      <c r="S374" s="8" t="str">
        <f>IF(Table13[[#This Row],[valence]]&gt;=0.6, "Happy", IF(Table13[[#This Row],[valence]]&gt;=0.4, "Neutral", "Sad"))</f>
        <v>Sad</v>
      </c>
      <c r="T374" s="8" t="str">
        <f>IF(Table13[[#This Row],[energy]]&gt;=0.7, "High Energy", IF(Table13[[#This Row],[energy]]&gt;=0.4, "Medium Energy", "Low Energy"))</f>
        <v>Medium Energy</v>
      </c>
      <c r="U374" s="17" t="str">
        <f>IF(Table13[[#This Row],[popularity]]&gt;70, "Popular", IF(Table13[[#This Row],[popularity]]&lt;40, "Less Popular", "Mid"))</f>
        <v>Less Popular</v>
      </c>
    </row>
    <row r="375" spans="2:21" x14ac:dyDescent="0.3">
      <c r="B375" s="8" t="s">
        <v>513</v>
      </c>
      <c r="C375" s="8" t="s">
        <v>480</v>
      </c>
      <c r="D375" s="9">
        <v>43048</v>
      </c>
      <c r="E375" s="8">
        <v>17</v>
      </c>
      <c r="F375" s="8" t="s">
        <v>514</v>
      </c>
      <c r="G375" s="8">
        <v>0.41041666666666665</v>
      </c>
      <c r="H375" s="8">
        <v>0.57500000000000007</v>
      </c>
      <c r="I375" s="8" t="s">
        <v>193</v>
      </c>
      <c r="J375" s="8">
        <v>0.61041666666666672</v>
      </c>
      <c r="K375" s="10">
        <v>-5895</v>
      </c>
      <c r="L375" s="8">
        <v>0.23124999999999998</v>
      </c>
      <c r="M375" s="10">
        <v>129958</v>
      </c>
      <c r="N375" s="8">
        <v>0.26597222222222222</v>
      </c>
      <c r="O375" s="8">
        <v>28</v>
      </c>
      <c r="P375" s="8">
        <v>295720</v>
      </c>
      <c r="Q375" s="8">
        <f>YEAR(Table13[[#This Row],[release_date]])</f>
        <v>2017</v>
      </c>
      <c r="R375" s="8">
        <f>ROUND(Table13[[#This Row],[duration_ms]]/60000,2)</f>
        <v>4.93</v>
      </c>
      <c r="S375" s="8" t="str">
        <f>IF(Table13[[#This Row],[valence]]&gt;=0.6, "Happy", IF(Table13[[#This Row],[valence]]&gt;=0.4, "Neutral", "Sad"))</f>
        <v>Sad</v>
      </c>
      <c r="T375" s="8" t="str">
        <f>IF(Table13[[#This Row],[energy]]&gt;=0.7, "High Energy", IF(Table13[[#This Row],[energy]]&gt;=0.4, "Medium Energy", "Low Energy"))</f>
        <v>Medium Energy</v>
      </c>
      <c r="U375" s="17" t="str">
        <f>IF(Table13[[#This Row],[popularity]]&gt;70, "Popular", IF(Table13[[#This Row],[popularity]]&lt;40, "Less Popular", "Mid"))</f>
        <v>Less Popular</v>
      </c>
    </row>
    <row r="376" spans="2:21" x14ac:dyDescent="0.3">
      <c r="B376" s="8" t="s">
        <v>515</v>
      </c>
      <c r="C376" s="8" t="s">
        <v>480</v>
      </c>
      <c r="D376" s="9">
        <v>43048</v>
      </c>
      <c r="E376" s="8">
        <v>18</v>
      </c>
      <c r="F376" s="8">
        <v>0.4548611111111111</v>
      </c>
      <c r="G376" s="11">
        <v>2.9861111111111113E-2</v>
      </c>
      <c r="H376" s="8">
        <v>0.65833333333333333</v>
      </c>
      <c r="I376" s="11">
        <v>0</v>
      </c>
      <c r="J376" s="8">
        <v>0.42499999999999999</v>
      </c>
      <c r="K376" s="10">
        <v>-2622</v>
      </c>
      <c r="L376" s="8">
        <v>0.4201388888888889</v>
      </c>
      <c r="M376" s="10">
        <v>162026</v>
      </c>
      <c r="N376" s="8">
        <v>0.25763888888888892</v>
      </c>
      <c r="O376" s="8">
        <v>30</v>
      </c>
      <c r="P376" s="8">
        <v>245413</v>
      </c>
      <c r="Q376" s="8">
        <f>YEAR(Table13[[#This Row],[release_date]])</f>
        <v>2017</v>
      </c>
      <c r="R376" s="8">
        <f>ROUND(Table13[[#This Row],[duration_ms]]/60000,2)</f>
        <v>4.09</v>
      </c>
      <c r="S376" s="8" t="str">
        <f>IF(Table13[[#This Row],[valence]]&gt;=0.6, "Happy", IF(Table13[[#This Row],[valence]]&gt;=0.4, "Neutral", "Sad"))</f>
        <v>Sad</v>
      </c>
      <c r="T376" s="8" t="str">
        <f>IF(Table13[[#This Row],[energy]]&gt;=0.7, "High Energy", IF(Table13[[#This Row],[energy]]&gt;=0.4, "Medium Energy", "Low Energy"))</f>
        <v>Medium Energy</v>
      </c>
      <c r="U376" s="17" t="str">
        <f>IF(Table13[[#This Row],[popularity]]&gt;70, "Popular", IF(Table13[[#This Row],[popularity]]&lt;40, "Less Popular", "Mid"))</f>
        <v>Less Popular</v>
      </c>
    </row>
    <row r="377" spans="2:21" x14ac:dyDescent="0.3">
      <c r="B377" s="8" t="s">
        <v>516</v>
      </c>
      <c r="C377" s="8" t="s">
        <v>480</v>
      </c>
      <c r="D377" s="9">
        <v>43048</v>
      </c>
      <c r="E377" s="8">
        <v>19</v>
      </c>
      <c r="F377" s="8">
        <v>0.57222222222222219</v>
      </c>
      <c r="G377" s="8">
        <v>0.49583333333333335</v>
      </c>
      <c r="H377" s="8">
        <v>0.21458333333333335</v>
      </c>
      <c r="I377" s="11">
        <v>0</v>
      </c>
      <c r="J377" s="8">
        <v>9.4444444444444442E-2</v>
      </c>
      <c r="K377" s="10">
        <v>-8828</v>
      </c>
      <c r="L377" s="8">
        <v>0.20972222222222223</v>
      </c>
      <c r="M377" s="10">
        <v>124892</v>
      </c>
      <c r="N377" s="8">
        <v>0.37916666666666665</v>
      </c>
      <c r="O377" s="8">
        <v>28</v>
      </c>
      <c r="P377" s="8">
        <v>292920</v>
      </c>
      <c r="Q377" s="8">
        <f>YEAR(Table13[[#This Row],[release_date]])</f>
        <v>2017</v>
      </c>
      <c r="R377" s="8">
        <f>ROUND(Table13[[#This Row],[duration_ms]]/60000,2)</f>
        <v>4.88</v>
      </c>
      <c r="S377" s="8" t="str">
        <f>IF(Table13[[#This Row],[valence]]&gt;=0.6, "Happy", IF(Table13[[#This Row],[valence]]&gt;=0.4, "Neutral", "Sad"))</f>
        <v>Sad</v>
      </c>
      <c r="T377" s="8" t="str">
        <f>IF(Table13[[#This Row],[energy]]&gt;=0.7, "High Energy", IF(Table13[[#This Row],[energy]]&gt;=0.4, "Medium Energy", "Low Energy"))</f>
        <v>Low Energy</v>
      </c>
      <c r="U377" s="17" t="str">
        <f>IF(Table13[[#This Row],[popularity]]&gt;70, "Popular", IF(Table13[[#This Row],[popularity]]&lt;40, "Less Popular", "Mid"))</f>
        <v>Less Popular</v>
      </c>
    </row>
    <row r="378" spans="2:21" x14ac:dyDescent="0.3">
      <c r="B378" s="8" t="s">
        <v>517</v>
      </c>
      <c r="C378" s="8" t="s">
        <v>480</v>
      </c>
      <c r="D378" s="9">
        <v>43048</v>
      </c>
      <c r="E378" s="8">
        <v>20</v>
      </c>
      <c r="F378" s="8">
        <v>7.013888888888889E-2</v>
      </c>
      <c r="G378" s="8">
        <v>0.48888888888888887</v>
      </c>
      <c r="H378" s="8">
        <v>0.43124999999999997</v>
      </c>
      <c r="I378" s="8" t="s">
        <v>518</v>
      </c>
      <c r="J378" s="11">
        <v>9.7222222222222224E-3</v>
      </c>
      <c r="K378" s="10">
        <v>-8086</v>
      </c>
      <c r="L378" s="8">
        <v>0.23194444444444443</v>
      </c>
      <c r="M378" s="10">
        <v>109996</v>
      </c>
      <c r="N378" s="8">
        <v>0.27430555555555552</v>
      </c>
      <c r="O378" s="8">
        <v>27</v>
      </c>
      <c r="P378" s="8">
        <v>242760</v>
      </c>
      <c r="Q378" s="8">
        <f>YEAR(Table13[[#This Row],[release_date]])</f>
        <v>2017</v>
      </c>
      <c r="R378" s="8">
        <f>ROUND(Table13[[#This Row],[duration_ms]]/60000,2)</f>
        <v>4.05</v>
      </c>
      <c r="S378" s="8" t="str">
        <f>IF(Table13[[#This Row],[valence]]&gt;=0.6, "Happy", IF(Table13[[#This Row],[valence]]&gt;=0.4, "Neutral", "Sad"))</f>
        <v>Sad</v>
      </c>
      <c r="T378" s="8" t="str">
        <f>IF(Table13[[#This Row],[energy]]&gt;=0.7, "High Energy", IF(Table13[[#This Row],[energy]]&gt;=0.4, "Medium Energy", "Low Energy"))</f>
        <v>Medium Energy</v>
      </c>
      <c r="U378" s="17" t="str">
        <f>IF(Table13[[#This Row],[popularity]]&gt;70, "Popular", IF(Table13[[#This Row],[popularity]]&lt;40, "Less Popular", "Mid"))</f>
        <v>Less Popular</v>
      </c>
    </row>
    <row r="379" spans="2:21" x14ac:dyDescent="0.3">
      <c r="B379" s="8" t="s">
        <v>519</v>
      </c>
      <c r="C379" s="8" t="s">
        <v>480</v>
      </c>
      <c r="D379" s="9">
        <v>43048</v>
      </c>
      <c r="E379" s="8">
        <v>21</v>
      </c>
      <c r="F379" s="8">
        <v>0.1534722222222222</v>
      </c>
      <c r="G379" s="8">
        <v>0.40069444444444446</v>
      </c>
      <c r="H379" s="8">
        <v>0.54513888888888895</v>
      </c>
      <c r="I379" s="11">
        <v>0</v>
      </c>
      <c r="J379" s="8">
        <v>8.6805555555555566E-2</v>
      </c>
      <c r="K379" s="10">
        <v>-3266</v>
      </c>
      <c r="L379" s="8">
        <v>7.0833333333333331E-2</v>
      </c>
      <c r="M379" s="8" t="s">
        <v>520</v>
      </c>
      <c r="N379" s="8">
        <v>0.44930555555555557</v>
      </c>
      <c r="O379" s="8">
        <v>29</v>
      </c>
      <c r="P379" s="8">
        <v>215106</v>
      </c>
      <c r="Q379" s="8">
        <f>YEAR(Table13[[#This Row],[release_date]])</f>
        <v>2017</v>
      </c>
      <c r="R379" s="8">
        <f>ROUND(Table13[[#This Row],[duration_ms]]/60000,2)</f>
        <v>3.59</v>
      </c>
      <c r="S379" s="8" t="str">
        <f>IF(Table13[[#This Row],[valence]]&gt;=0.6, "Happy", IF(Table13[[#This Row],[valence]]&gt;=0.4, "Neutral", "Sad"))</f>
        <v>Neutral</v>
      </c>
      <c r="T379" s="8" t="str">
        <f>IF(Table13[[#This Row],[energy]]&gt;=0.7, "High Energy", IF(Table13[[#This Row],[energy]]&gt;=0.4, "Medium Energy", "Low Energy"))</f>
        <v>Medium Energy</v>
      </c>
      <c r="U379" s="17" t="str">
        <f>IF(Table13[[#This Row],[popularity]]&gt;70, "Popular", IF(Table13[[#This Row],[popularity]]&lt;40, "Less Popular", "Mid"))</f>
        <v>Less Popular</v>
      </c>
    </row>
    <row r="380" spans="2:21" x14ac:dyDescent="0.3">
      <c r="B380" s="8" t="s">
        <v>521</v>
      </c>
      <c r="C380" s="8" t="s">
        <v>480</v>
      </c>
      <c r="D380" s="9">
        <v>43048</v>
      </c>
      <c r="E380" s="8">
        <v>22</v>
      </c>
      <c r="F380" s="8">
        <v>0.24166666666666667</v>
      </c>
      <c r="G380" s="8">
        <v>0.54791666666666672</v>
      </c>
      <c r="H380" s="8">
        <v>0.44027777777777777</v>
      </c>
      <c r="I380" s="8" t="s">
        <v>522</v>
      </c>
      <c r="J380" s="8">
        <v>0.20972222222222223</v>
      </c>
      <c r="K380" s="10">
        <v>-4762</v>
      </c>
      <c r="L380" s="8">
        <v>0.22430555555555556</v>
      </c>
      <c r="M380" s="14">
        <v>4.875</v>
      </c>
      <c r="N380" s="8">
        <v>0.45694444444444443</v>
      </c>
      <c r="O380" s="8">
        <v>31</v>
      </c>
      <c r="P380" s="8">
        <v>212600</v>
      </c>
      <c r="Q380" s="8">
        <f>YEAR(Table13[[#This Row],[release_date]])</f>
        <v>2017</v>
      </c>
      <c r="R380" s="8">
        <f>ROUND(Table13[[#This Row],[duration_ms]]/60000,2)</f>
        <v>3.54</v>
      </c>
      <c r="S380" s="8" t="str">
        <f>IF(Table13[[#This Row],[valence]]&gt;=0.6, "Happy", IF(Table13[[#This Row],[valence]]&gt;=0.4, "Neutral", "Sad"))</f>
        <v>Neutral</v>
      </c>
      <c r="T380" s="8" t="str">
        <f>IF(Table13[[#This Row],[energy]]&gt;=0.7, "High Energy", IF(Table13[[#This Row],[energy]]&gt;=0.4, "Medium Energy", "Low Energy"))</f>
        <v>Medium Energy</v>
      </c>
      <c r="U380" s="17" t="str">
        <f>IF(Table13[[#This Row],[popularity]]&gt;70, "Popular", IF(Table13[[#This Row],[popularity]]&lt;40, "Less Popular", "Mid"))</f>
        <v>Less Popular</v>
      </c>
    </row>
    <row r="381" spans="2:21" x14ac:dyDescent="0.3">
      <c r="B381" s="8" t="s">
        <v>523</v>
      </c>
      <c r="C381" s="8" t="s">
        <v>480</v>
      </c>
      <c r="D381" s="9">
        <v>43048</v>
      </c>
      <c r="E381" s="8">
        <v>23</v>
      </c>
      <c r="F381" s="8">
        <v>0.26458333333333334</v>
      </c>
      <c r="G381" s="8">
        <v>0.41875000000000001</v>
      </c>
      <c r="H381" s="8">
        <v>0.49791666666666662</v>
      </c>
      <c r="I381" s="11">
        <v>0</v>
      </c>
      <c r="J381" s="8">
        <v>0.21319444444444444</v>
      </c>
      <c r="K381" s="10">
        <v>-4401</v>
      </c>
      <c r="L381" s="8">
        <v>0.18888888888888888</v>
      </c>
      <c r="M381" s="10">
        <v>100163</v>
      </c>
      <c r="N381" s="8">
        <v>0.29791666666666666</v>
      </c>
      <c r="O381" s="8">
        <v>29</v>
      </c>
      <c r="P381" s="8">
        <v>242973</v>
      </c>
      <c r="Q381" s="8">
        <f>YEAR(Table13[[#This Row],[release_date]])</f>
        <v>2017</v>
      </c>
      <c r="R381" s="8">
        <f>ROUND(Table13[[#This Row],[duration_ms]]/60000,2)</f>
        <v>4.05</v>
      </c>
      <c r="S381" s="8" t="str">
        <f>IF(Table13[[#This Row],[valence]]&gt;=0.6, "Happy", IF(Table13[[#This Row],[valence]]&gt;=0.4, "Neutral", "Sad"))</f>
        <v>Sad</v>
      </c>
      <c r="T381" s="8" t="str">
        <f>IF(Table13[[#This Row],[energy]]&gt;=0.7, "High Energy", IF(Table13[[#This Row],[energy]]&gt;=0.4, "Medium Energy", "Low Energy"))</f>
        <v>Medium Energy</v>
      </c>
      <c r="U381" s="17" t="str">
        <f>IF(Table13[[#This Row],[popularity]]&gt;70, "Popular", IF(Table13[[#This Row],[popularity]]&lt;40, "Less Popular", "Mid"))</f>
        <v>Less Popular</v>
      </c>
    </row>
    <row r="382" spans="2:21" x14ac:dyDescent="0.3">
      <c r="B382" s="8" t="s">
        <v>524</v>
      </c>
      <c r="C382" s="8" t="s">
        <v>480</v>
      </c>
      <c r="D382" s="9">
        <v>43048</v>
      </c>
      <c r="E382" s="8">
        <v>24</v>
      </c>
      <c r="F382" s="8">
        <v>0.4909722222222222</v>
      </c>
      <c r="G382" s="8">
        <v>0.37222222222222223</v>
      </c>
      <c r="H382" s="8">
        <v>0.4368055555555555</v>
      </c>
      <c r="I382" s="8" t="s">
        <v>525</v>
      </c>
      <c r="J382" s="8">
        <v>0.10972222222222222</v>
      </c>
      <c r="K382" s="10">
        <v>-3907</v>
      </c>
      <c r="L382" s="8">
        <v>0.19097222222222221</v>
      </c>
      <c r="M382" s="10">
        <v>81963</v>
      </c>
      <c r="N382" s="8">
        <v>0.15416666666666667</v>
      </c>
      <c r="O382" s="8">
        <v>40</v>
      </c>
      <c r="P382" s="8">
        <v>353253</v>
      </c>
      <c r="Q382" s="8">
        <f>YEAR(Table13[[#This Row],[release_date]])</f>
        <v>2017</v>
      </c>
      <c r="R382" s="8">
        <f>ROUND(Table13[[#This Row],[duration_ms]]/60000,2)</f>
        <v>5.89</v>
      </c>
      <c r="S382" s="8" t="str">
        <f>IF(Table13[[#This Row],[valence]]&gt;=0.6, "Happy", IF(Table13[[#This Row],[valence]]&gt;=0.4, "Neutral", "Sad"))</f>
        <v>Sad</v>
      </c>
      <c r="T382" s="8" t="str">
        <f>IF(Table13[[#This Row],[energy]]&gt;=0.7, "High Energy", IF(Table13[[#This Row],[energy]]&gt;=0.4, "Medium Energy", "Low Energy"))</f>
        <v>Medium Energy</v>
      </c>
      <c r="U382" s="17" t="str">
        <f>IF(Table13[[#This Row],[popularity]]&gt;70, "Popular", IF(Table13[[#This Row],[popularity]]&lt;40, "Less Popular", "Mid"))</f>
        <v>Mid</v>
      </c>
    </row>
    <row r="383" spans="2:21" x14ac:dyDescent="0.3">
      <c r="B383" s="8" t="s">
        <v>526</v>
      </c>
      <c r="C383" s="8" t="s">
        <v>480</v>
      </c>
      <c r="D383" s="9">
        <v>43048</v>
      </c>
      <c r="E383" s="8">
        <v>25</v>
      </c>
      <c r="F383" s="8" t="s">
        <v>527</v>
      </c>
      <c r="G383" s="8">
        <v>0.37708333333333338</v>
      </c>
      <c r="H383" s="8">
        <v>0.53055555555555556</v>
      </c>
      <c r="I383" s="11">
        <v>0</v>
      </c>
      <c r="J383" s="8">
        <v>7.7083333333333337E-2</v>
      </c>
      <c r="K383" s="10">
        <v>-4206</v>
      </c>
      <c r="L383" s="8">
        <v>0.26180555555555557</v>
      </c>
      <c r="M383" s="10">
        <v>95999</v>
      </c>
      <c r="N383" s="8">
        <v>0.16180555555555556</v>
      </c>
      <c r="O383" s="8">
        <v>26</v>
      </c>
      <c r="P383" s="8">
        <v>281053</v>
      </c>
      <c r="Q383" s="8">
        <f>YEAR(Table13[[#This Row],[release_date]])</f>
        <v>2017</v>
      </c>
      <c r="R383" s="8">
        <f>ROUND(Table13[[#This Row],[duration_ms]]/60000,2)</f>
        <v>4.68</v>
      </c>
      <c r="S383" s="8" t="str">
        <f>IF(Table13[[#This Row],[valence]]&gt;=0.6, "Happy", IF(Table13[[#This Row],[valence]]&gt;=0.4, "Neutral", "Sad"))</f>
        <v>Sad</v>
      </c>
      <c r="T383" s="8" t="str">
        <f>IF(Table13[[#This Row],[energy]]&gt;=0.7, "High Energy", IF(Table13[[#This Row],[energy]]&gt;=0.4, "Medium Energy", "Low Energy"))</f>
        <v>Medium Energy</v>
      </c>
      <c r="U383" s="17" t="str">
        <f>IF(Table13[[#This Row],[popularity]]&gt;70, "Popular", IF(Table13[[#This Row],[popularity]]&lt;40, "Less Popular", "Mid"))</f>
        <v>Less Popular</v>
      </c>
    </row>
    <row r="384" spans="2:21" x14ac:dyDescent="0.3">
      <c r="B384" s="8" t="s">
        <v>528</v>
      </c>
      <c r="C384" s="8" t="s">
        <v>480</v>
      </c>
      <c r="D384" s="9">
        <v>43048</v>
      </c>
      <c r="E384" s="8">
        <v>26</v>
      </c>
      <c r="F384" s="8">
        <v>0.32569444444444445</v>
      </c>
      <c r="G384" s="8">
        <v>0.42291666666666666</v>
      </c>
      <c r="H384" s="11">
        <v>3.888888888888889E-2</v>
      </c>
      <c r="I384" s="11">
        <v>0</v>
      </c>
      <c r="J384" s="8" t="s">
        <v>529</v>
      </c>
      <c r="K384" s="10">
        <v>-7392</v>
      </c>
      <c r="L384" s="8">
        <v>0.19375000000000001</v>
      </c>
      <c r="M384" s="10">
        <v>159838</v>
      </c>
      <c r="N384" s="8">
        <v>0.15833333333333333</v>
      </c>
      <c r="O384" s="8">
        <v>30</v>
      </c>
      <c r="P384" s="8">
        <v>239346</v>
      </c>
      <c r="Q384" s="8">
        <f>YEAR(Table13[[#This Row],[release_date]])</f>
        <v>2017</v>
      </c>
      <c r="R384" s="8">
        <f>ROUND(Table13[[#This Row],[duration_ms]]/60000,2)</f>
        <v>3.99</v>
      </c>
      <c r="S384" s="8" t="str">
        <f>IF(Table13[[#This Row],[valence]]&gt;=0.6, "Happy", IF(Table13[[#This Row],[valence]]&gt;=0.4, "Neutral", "Sad"))</f>
        <v>Sad</v>
      </c>
      <c r="T384" s="8" t="str">
        <f>IF(Table13[[#This Row],[energy]]&gt;=0.7, "High Energy", IF(Table13[[#This Row],[energy]]&gt;=0.4, "Medium Energy", "Low Energy"))</f>
        <v>Low Energy</v>
      </c>
      <c r="U384" s="17" t="str">
        <f>IF(Table13[[#This Row],[popularity]]&gt;70, "Popular", IF(Table13[[#This Row],[popularity]]&lt;40, "Less Popular", "Mid"))</f>
        <v>Less Popular</v>
      </c>
    </row>
    <row r="385" spans="2:21" x14ac:dyDescent="0.3">
      <c r="B385" s="8" t="s">
        <v>530</v>
      </c>
      <c r="C385" s="8" t="s">
        <v>480</v>
      </c>
      <c r="D385" s="9">
        <v>43048</v>
      </c>
      <c r="E385" s="8">
        <v>27</v>
      </c>
      <c r="F385" s="8" t="s">
        <v>531</v>
      </c>
      <c r="G385" s="8">
        <v>0.3840277777777778</v>
      </c>
      <c r="H385" s="8">
        <v>0.58402777777777781</v>
      </c>
      <c r="I385" s="8" t="s">
        <v>532</v>
      </c>
      <c r="J385" s="8">
        <v>0.23680555555555557</v>
      </c>
      <c r="K385" s="10">
        <v>-6937</v>
      </c>
      <c r="L385" s="8">
        <v>0.27569444444444441</v>
      </c>
      <c r="M385" s="10">
        <v>91999</v>
      </c>
      <c r="N385" s="8">
        <v>0.23541666666666669</v>
      </c>
      <c r="O385" s="8">
        <v>32</v>
      </c>
      <c r="P385" s="8">
        <v>235800</v>
      </c>
      <c r="Q385" s="8">
        <f>YEAR(Table13[[#This Row],[release_date]])</f>
        <v>2017</v>
      </c>
      <c r="R385" s="8">
        <f>ROUND(Table13[[#This Row],[duration_ms]]/60000,2)</f>
        <v>3.93</v>
      </c>
      <c r="S385" s="8" t="str">
        <f>IF(Table13[[#This Row],[valence]]&gt;=0.6, "Happy", IF(Table13[[#This Row],[valence]]&gt;=0.4, "Neutral", "Sad"))</f>
        <v>Sad</v>
      </c>
      <c r="T385" s="8" t="str">
        <f>IF(Table13[[#This Row],[energy]]&gt;=0.7, "High Energy", IF(Table13[[#This Row],[energy]]&gt;=0.4, "Medium Energy", "Low Energy"))</f>
        <v>Medium Energy</v>
      </c>
      <c r="U385" s="17" t="str">
        <f>IF(Table13[[#This Row],[popularity]]&gt;70, "Popular", IF(Table13[[#This Row],[popularity]]&lt;40, "Less Popular", "Mid"))</f>
        <v>Less Popular</v>
      </c>
    </row>
    <row r="386" spans="2:21" x14ac:dyDescent="0.3">
      <c r="B386" s="8" t="s">
        <v>533</v>
      </c>
      <c r="C386" s="8" t="s">
        <v>480</v>
      </c>
      <c r="D386" s="9">
        <v>43048</v>
      </c>
      <c r="E386" s="8">
        <v>28</v>
      </c>
      <c r="F386" s="8" t="s">
        <v>534</v>
      </c>
      <c r="G386" s="8">
        <v>0.33749999999999997</v>
      </c>
      <c r="H386" s="8">
        <v>0.38055555555555554</v>
      </c>
      <c r="I386" s="8" t="s">
        <v>535</v>
      </c>
      <c r="J386" s="8">
        <v>0.69236111111111109</v>
      </c>
      <c r="K386" s="10">
        <v>-6291</v>
      </c>
      <c r="L386" s="8">
        <v>0.17777777777777778</v>
      </c>
      <c r="M386" s="10">
        <v>79873</v>
      </c>
      <c r="N386" s="11">
        <v>1.5277777777777777E-2</v>
      </c>
      <c r="O386" s="8">
        <v>28</v>
      </c>
      <c r="P386" s="8">
        <v>223920</v>
      </c>
      <c r="Q386" s="8">
        <f>YEAR(Table13[[#This Row],[release_date]])</f>
        <v>2017</v>
      </c>
      <c r="R386" s="8">
        <f>ROUND(Table13[[#This Row],[duration_ms]]/60000,2)</f>
        <v>3.73</v>
      </c>
      <c r="S386" s="8" t="str">
        <f>IF(Table13[[#This Row],[valence]]&gt;=0.6, "Happy", IF(Table13[[#This Row],[valence]]&gt;=0.4, "Neutral", "Sad"))</f>
        <v>Sad</v>
      </c>
      <c r="T386" s="8" t="str">
        <f>IF(Table13[[#This Row],[energy]]&gt;=0.7, "High Energy", IF(Table13[[#This Row],[energy]]&gt;=0.4, "Medium Energy", "Low Energy"))</f>
        <v>Low Energy</v>
      </c>
      <c r="U386" s="17" t="str">
        <f>IF(Table13[[#This Row],[popularity]]&gt;70, "Popular", IF(Table13[[#This Row],[popularity]]&lt;40, "Less Popular", "Mid"))</f>
        <v>Less Popular</v>
      </c>
    </row>
    <row r="387" spans="2:21" x14ac:dyDescent="0.3">
      <c r="B387" s="8" t="s">
        <v>536</v>
      </c>
      <c r="C387" s="8" t="s">
        <v>480</v>
      </c>
      <c r="D387" s="9">
        <v>43048</v>
      </c>
      <c r="E387" s="8">
        <v>29</v>
      </c>
      <c r="F387" s="8">
        <v>0.39999999999999997</v>
      </c>
      <c r="G387" s="8">
        <v>0.3979166666666667</v>
      </c>
      <c r="H387" s="8">
        <v>0.53263888888888888</v>
      </c>
      <c r="I387" s="11">
        <v>0</v>
      </c>
      <c r="J387" s="8">
        <v>0.22708333333333333</v>
      </c>
      <c r="K387" s="10">
        <v>-2929</v>
      </c>
      <c r="L387" s="8">
        <v>0.22430555555555556</v>
      </c>
      <c r="M387" s="10">
        <v>114985</v>
      </c>
      <c r="N387" s="8">
        <v>0.30416666666666664</v>
      </c>
      <c r="O387" s="8">
        <v>27</v>
      </c>
      <c r="P387" s="8">
        <v>202080</v>
      </c>
      <c r="Q387" s="8">
        <f>YEAR(Table13[[#This Row],[release_date]])</f>
        <v>2017</v>
      </c>
      <c r="R387" s="8">
        <f>ROUND(Table13[[#This Row],[duration_ms]]/60000,2)</f>
        <v>3.37</v>
      </c>
      <c r="S387" s="8" t="str">
        <f>IF(Table13[[#This Row],[valence]]&gt;=0.6, "Happy", IF(Table13[[#This Row],[valence]]&gt;=0.4, "Neutral", "Sad"))</f>
        <v>Sad</v>
      </c>
      <c r="T387" s="8" t="str">
        <f>IF(Table13[[#This Row],[energy]]&gt;=0.7, "High Energy", IF(Table13[[#This Row],[energy]]&gt;=0.4, "Medium Energy", "Low Energy"))</f>
        <v>Medium Energy</v>
      </c>
      <c r="U387" s="17" t="str">
        <f>IF(Table13[[#This Row],[popularity]]&gt;70, "Popular", IF(Table13[[#This Row],[popularity]]&lt;40, "Less Popular", "Mid"))</f>
        <v>Less Popular</v>
      </c>
    </row>
    <row r="388" spans="2:21" x14ac:dyDescent="0.3">
      <c r="B388" s="8" t="s">
        <v>537</v>
      </c>
      <c r="C388" s="8" t="s">
        <v>480</v>
      </c>
      <c r="D388" s="9">
        <v>43048</v>
      </c>
      <c r="E388" s="8">
        <v>30</v>
      </c>
      <c r="F388" s="8">
        <v>0.47152777777777777</v>
      </c>
      <c r="G388" s="11">
        <v>3.3333333333333333E-2</v>
      </c>
      <c r="H388" s="8">
        <v>0.30208333333333331</v>
      </c>
      <c r="I388" s="11">
        <v>0</v>
      </c>
      <c r="J388" s="8">
        <v>0.64444444444444449</v>
      </c>
      <c r="K388" s="10">
        <v>-8795</v>
      </c>
      <c r="L388" s="8">
        <v>0.22152777777777777</v>
      </c>
      <c r="M388" s="10">
        <v>143942</v>
      </c>
      <c r="N388" s="8">
        <v>7.4999999999999997E-2</v>
      </c>
      <c r="O388" s="8">
        <v>28</v>
      </c>
      <c r="P388" s="8">
        <v>250093</v>
      </c>
      <c r="Q388" s="8">
        <f>YEAR(Table13[[#This Row],[release_date]])</f>
        <v>2017</v>
      </c>
      <c r="R388" s="8">
        <f>ROUND(Table13[[#This Row],[duration_ms]]/60000,2)</f>
        <v>4.17</v>
      </c>
      <c r="S388" s="8" t="str">
        <f>IF(Table13[[#This Row],[valence]]&gt;=0.6, "Happy", IF(Table13[[#This Row],[valence]]&gt;=0.4, "Neutral", "Sad"))</f>
        <v>Sad</v>
      </c>
      <c r="T388" s="8" t="str">
        <f>IF(Table13[[#This Row],[energy]]&gt;=0.7, "High Energy", IF(Table13[[#This Row],[energy]]&gt;=0.4, "Medium Energy", "Low Energy"))</f>
        <v>Low Energy</v>
      </c>
      <c r="U388" s="17" t="str">
        <f>IF(Table13[[#This Row],[popularity]]&gt;70, "Popular", IF(Table13[[#This Row],[popularity]]&lt;40, "Less Popular", "Mid"))</f>
        <v>Less Popular</v>
      </c>
    </row>
    <row r="389" spans="2:21" x14ac:dyDescent="0.3">
      <c r="B389" s="8" t="s">
        <v>538</v>
      </c>
      <c r="C389" s="8" t="s">
        <v>480</v>
      </c>
      <c r="D389" s="9">
        <v>43048</v>
      </c>
      <c r="E389" s="8">
        <v>31</v>
      </c>
      <c r="F389" s="8">
        <v>0.24444444444444444</v>
      </c>
      <c r="G389" s="8">
        <v>0.49027777777777781</v>
      </c>
      <c r="H389" s="8">
        <v>0.35069444444444442</v>
      </c>
      <c r="I389" s="11">
        <v>0</v>
      </c>
      <c r="J389" s="11">
        <v>9.0277777777777787E-3</v>
      </c>
      <c r="K389" s="10">
        <v>-7639</v>
      </c>
      <c r="L389" s="8">
        <v>0.24861111111111112</v>
      </c>
      <c r="M389" s="10">
        <v>117935</v>
      </c>
      <c r="N389" s="8">
        <v>0.38958333333333334</v>
      </c>
      <c r="O389" s="8">
        <v>26</v>
      </c>
      <c r="P389" s="8">
        <v>240266</v>
      </c>
      <c r="Q389" s="8">
        <f>YEAR(Table13[[#This Row],[release_date]])</f>
        <v>2017</v>
      </c>
      <c r="R389" s="8">
        <f>ROUND(Table13[[#This Row],[duration_ms]]/60000,2)</f>
        <v>4</v>
      </c>
      <c r="S389" s="8" t="str">
        <f>IF(Table13[[#This Row],[valence]]&gt;=0.6, "Happy", IF(Table13[[#This Row],[valence]]&gt;=0.4, "Neutral", "Sad"))</f>
        <v>Sad</v>
      </c>
      <c r="T389" s="8" t="str">
        <f>IF(Table13[[#This Row],[energy]]&gt;=0.7, "High Energy", IF(Table13[[#This Row],[energy]]&gt;=0.4, "Medium Energy", "Low Energy"))</f>
        <v>Low Energy</v>
      </c>
      <c r="U389" s="17" t="str">
        <f>IF(Table13[[#This Row],[popularity]]&gt;70, "Popular", IF(Table13[[#This Row],[popularity]]&lt;40, "Less Popular", "Mid"))</f>
        <v>Less Popular</v>
      </c>
    </row>
    <row r="390" spans="2:21" x14ac:dyDescent="0.3">
      <c r="B390" s="8" t="s">
        <v>539</v>
      </c>
      <c r="C390" s="8" t="s">
        <v>480</v>
      </c>
      <c r="D390" s="9">
        <v>43048</v>
      </c>
      <c r="E390" s="8">
        <v>32</v>
      </c>
      <c r="F390" s="11">
        <v>3.888888888888889E-2</v>
      </c>
      <c r="G390" s="8">
        <v>0.42222222222222222</v>
      </c>
      <c r="H390" s="8">
        <v>0.26666666666666666</v>
      </c>
      <c r="I390" s="11">
        <v>0</v>
      </c>
      <c r="J390" s="8">
        <v>0.11458333333333333</v>
      </c>
      <c r="K390" s="10">
        <v>-5732</v>
      </c>
      <c r="L390" s="8">
        <v>0.17083333333333331</v>
      </c>
      <c r="M390" s="10">
        <v>95963</v>
      </c>
      <c r="N390" s="8">
        <v>0.15069444444444444</v>
      </c>
      <c r="O390" s="8">
        <v>27</v>
      </c>
      <c r="P390" s="8">
        <v>205853</v>
      </c>
      <c r="Q390" s="8">
        <f>YEAR(Table13[[#This Row],[release_date]])</f>
        <v>2017</v>
      </c>
      <c r="R390" s="8">
        <f>ROUND(Table13[[#This Row],[duration_ms]]/60000,2)</f>
        <v>3.43</v>
      </c>
      <c r="S390" s="8" t="str">
        <f>IF(Table13[[#This Row],[valence]]&gt;=0.6, "Happy", IF(Table13[[#This Row],[valence]]&gt;=0.4, "Neutral", "Sad"))</f>
        <v>Sad</v>
      </c>
      <c r="T390" s="8" t="str">
        <f>IF(Table13[[#This Row],[energy]]&gt;=0.7, "High Energy", IF(Table13[[#This Row],[energy]]&gt;=0.4, "Medium Energy", "Low Energy"))</f>
        <v>Low Energy</v>
      </c>
      <c r="U390" s="17" t="str">
        <f>IF(Table13[[#This Row],[popularity]]&gt;70, "Popular", IF(Table13[[#This Row],[popularity]]&lt;40, "Less Popular", "Mid"))</f>
        <v>Less Popular</v>
      </c>
    </row>
    <row r="391" spans="2:21" x14ac:dyDescent="0.3">
      <c r="B391" s="8" t="s">
        <v>540</v>
      </c>
      <c r="C391" s="8" t="s">
        <v>480</v>
      </c>
      <c r="D391" s="9">
        <v>43048</v>
      </c>
      <c r="E391" s="8">
        <v>33</v>
      </c>
      <c r="F391" s="8">
        <v>0.28888888888888892</v>
      </c>
      <c r="G391" s="8">
        <v>0.30694444444444441</v>
      </c>
      <c r="H391" s="11">
        <v>3.3333333333333333E-2</v>
      </c>
      <c r="I391" s="11">
        <v>0</v>
      </c>
      <c r="J391" s="8">
        <v>8.9583333333333334E-2</v>
      </c>
      <c r="K391" s="10">
        <v>-7405</v>
      </c>
      <c r="L391" s="8">
        <v>0.19513888888888889</v>
      </c>
      <c r="M391" s="10">
        <v>73849</v>
      </c>
      <c r="N391" s="8">
        <v>0.11597222222222221</v>
      </c>
      <c r="O391" s="8">
        <v>31</v>
      </c>
      <c r="P391" s="8">
        <v>264946</v>
      </c>
      <c r="Q391" s="8">
        <f>YEAR(Table13[[#This Row],[release_date]])</f>
        <v>2017</v>
      </c>
      <c r="R391" s="8">
        <f>ROUND(Table13[[#This Row],[duration_ms]]/60000,2)</f>
        <v>4.42</v>
      </c>
      <c r="S391" s="8" t="str">
        <f>IF(Table13[[#This Row],[valence]]&gt;=0.6, "Happy", IF(Table13[[#This Row],[valence]]&gt;=0.4, "Neutral", "Sad"))</f>
        <v>Sad</v>
      </c>
      <c r="T391" s="8" t="str">
        <f>IF(Table13[[#This Row],[energy]]&gt;=0.7, "High Energy", IF(Table13[[#This Row],[energy]]&gt;=0.4, "Medium Energy", "Low Energy"))</f>
        <v>Low Energy</v>
      </c>
      <c r="U391" s="17" t="str">
        <f>IF(Table13[[#This Row],[popularity]]&gt;70, "Popular", IF(Table13[[#This Row],[popularity]]&lt;40, "Less Popular", "Mid"))</f>
        <v>Less Popular</v>
      </c>
    </row>
    <row r="392" spans="2:21" x14ac:dyDescent="0.3">
      <c r="B392" s="8" t="s">
        <v>541</v>
      </c>
      <c r="C392" s="8" t="s">
        <v>480</v>
      </c>
      <c r="D392" s="9">
        <v>43048</v>
      </c>
      <c r="E392" s="8">
        <v>34</v>
      </c>
      <c r="F392" s="8">
        <v>8.4027777777777771E-2</v>
      </c>
      <c r="G392" s="8">
        <v>0.34930555555555554</v>
      </c>
      <c r="H392" s="8">
        <v>0.58611111111111114</v>
      </c>
      <c r="I392" s="11">
        <v>0</v>
      </c>
      <c r="J392" s="8">
        <v>0.67638888888888893</v>
      </c>
      <c r="K392" s="10">
        <v>-3648</v>
      </c>
      <c r="L392" s="8">
        <v>0.26319444444444445</v>
      </c>
      <c r="M392" s="10">
        <v>143941</v>
      </c>
      <c r="N392" s="8">
        <v>0.3527777777777778</v>
      </c>
      <c r="O392" s="8">
        <v>30</v>
      </c>
      <c r="P392" s="8">
        <v>263613</v>
      </c>
      <c r="Q392" s="8">
        <f>YEAR(Table13[[#This Row],[release_date]])</f>
        <v>2017</v>
      </c>
      <c r="R392" s="8">
        <f>ROUND(Table13[[#This Row],[duration_ms]]/60000,2)</f>
        <v>4.3899999999999997</v>
      </c>
      <c r="S392" s="8" t="str">
        <f>IF(Table13[[#This Row],[valence]]&gt;=0.6, "Happy", IF(Table13[[#This Row],[valence]]&gt;=0.4, "Neutral", "Sad"))</f>
        <v>Sad</v>
      </c>
      <c r="T392" s="8" t="str">
        <f>IF(Table13[[#This Row],[energy]]&gt;=0.7, "High Energy", IF(Table13[[#This Row],[energy]]&gt;=0.4, "Medium Energy", "Low Energy"))</f>
        <v>Medium Energy</v>
      </c>
      <c r="U392" s="17" t="str">
        <f>IF(Table13[[#This Row],[popularity]]&gt;70, "Popular", IF(Table13[[#This Row],[popularity]]&lt;40, "Less Popular", "Mid"))</f>
        <v>Less Popular</v>
      </c>
    </row>
    <row r="393" spans="2:21" x14ac:dyDescent="0.3">
      <c r="B393" s="8" t="s">
        <v>542</v>
      </c>
      <c r="C393" s="8" t="s">
        <v>480</v>
      </c>
      <c r="D393" s="9">
        <v>43048</v>
      </c>
      <c r="E393" s="8">
        <v>35</v>
      </c>
      <c r="F393" s="8">
        <v>7.8472222222222221E-2</v>
      </c>
      <c r="G393" s="8">
        <v>0.4284722222222222</v>
      </c>
      <c r="H393" s="8">
        <v>0.48541666666666666</v>
      </c>
      <c r="I393" s="11">
        <v>0</v>
      </c>
      <c r="J393" s="8" t="s">
        <v>543</v>
      </c>
      <c r="K393" s="10">
        <v>-5712</v>
      </c>
      <c r="L393" s="8">
        <v>0.18819444444444444</v>
      </c>
      <c r="M393" s="10">
        <v>79979</v>
      </c>
      <c r="N393" s="8">
        <v>0.57430555555555551</v>
      </c>
      <c r="O393" s="8">
        <v>26</v>
      </c>
      <c r="P393" s="8">
        <v>238093</v>
      </c>
      <c r="Q393" s="8">
        <f>YEAR(Table13[[#This Row],[release_date]])</f>
        <v>2017</v>
      </c>
      <c r="R393" s="8">
        <f>ROUND(Table13[[#This Row],[duration_ms]]/60000,2)</f>
        <v>3.97</v>
      </c>
      <c r="S393" s="8" t="str">
        <f>IF(Table13[[#This Row],[valence]]&gt;=0.6, "Happy", IF(Table13[[#This Row],[valence]]&gt;=0.4, "Neutral", "Sad"))</f>
        <v>Neutral</v>
      </c>
      <c r="T393" s="8" t="str">
        <f>IF(Table13[[#This Row],[energy]]&gt;=0.7, "High Energy", IF(Table13[[#This Row],[energy]]&gt;=0.4, "Medium Energy", "Low Energy"))</f>
        <v>Medium Energy</v>
      </c>
      <c r="U393" s="17" t="str">
        <f>IF(Table13[[#This Row],[popularity]]&gt;70, "Popular", IF(Table13[[#This Row],[popularity]]&lt;40, "Less Popular", "Mid"))</f>
        <v>Less Popular</v>
      </c>
    </row>
    <row r="394" spans="2:21" x14ac:dyDescent="0.3">
      <c r="B394" s="8" t="s">
        <v>544</v>
      </c>
      <c r="C394" s="8" t="s">
        <v>480</v>
      </c>
      <c r="D394" s="9">
        <v>43048</v>
      </c>
      <c r="E394" s="8">
        <v>36</v>
      </c>
      <c r="F394" s="8">
        <v>0.13680555555555554</v>
      </c>
      <c r="G394" s="8">
        <v>0.35833333333333334</v>
      </c>
      <c r="H394" s="8">
        <v>0.36527777777777781</v>
      </c>
      <c r="I394" s="8" t="s">
        <v>545</v>
      </c>
      <c r="J394" s="11">
        <v>9.7222222222222224E-3</v>
      </c>
      <c r="K394" s="10">
        <v>-8349</v>
      </c>
      <c r="L394" s="8">
        <v>0.18680555555555556</v>
      </c>
      <c r="M394" s="10">
        <v>78985</v>
      </c>
      <c r="N394" s="8">
        <v>0.21666666666666667</v>
      </c>
      <c r="O394" s="8">
        <v>27</v>
      </c>
      <c r="P394" s="8">
        <v>239426</v>
      </c>
      <c r="Q394" s="8">
        <f>YEAR(Table13[[#This Row],[release_date]])</f>
        <v>2017</v>
      </c>
      <c r="R394" s="8">
        <f>ROUND(Table13[[#This Row],[duration_ms]]/60000,2)</f>
        <v>3.99</v>
      </c>
      <c r="S394" s="8" t="str">
        <f>IF(Table13[[#This Row],[valence]]&gt;=0.6, "Happy", IF(Table13[[#This Row],[valence]]&gt;=0.4, "Neutral", "Sad"))</f>
        <v>Sad</v>
      </c>
      <c r="T394" s="8" t="str">
        <f>IF(Table13[[#This Row],[energy]]&gt;=0.7, "High Energy", IF(Table13[[#This Row],[energy]]&gt;=0.4, "Medium Energy", "Low Energy"))</f>
        <v>Low Energy</v>
      </c>
      <c r="U394" s="17" t="str">
        <f>IF(Table13[[#This Row],[popularity]]&gt;70, "Popular", IF(Table13[[#This Row],[popularity]]&lt;40, "Less Popular", "Mid"))</f>
        <v>Less Popular</v>
      </c>
    </row>
    <row r="395" spans="2:21" x14ac:dyDescent="0.3">
      <c r="B395" s="8" t="s">
        <v>546</v>
      </c>
      <c r="C395" s="8" t="s">
        <v>480</v>
      </c>
      <c r="D395" s="9">
        <v>43048</v>
      </c>
      <c r="E395" s="8">
        <v>37</v>
      </c>
      <c r="F395" s="8">
        <v>0.36319444444444443</v>
      </c>
      <c r="G395" s="8">
        <v>0.33194444444444443</v>
      </c>
      <c r="H395" s="8">
        <v>0.37986111111111115</v>
      </c>
      <c r="I395" s="11">
        <v>0</v>
      </c>
      <c r="J395" s="8">
        <v>0.50555555555555554</v>
      </c>
      <c r="K395" s="10">
        <v>-4948</v>
      </c>
      <c r="L395" s="8">
        <v>0.19097222222222221</v>
      </c>
      <c r="M395" s="10">
        <v>146134</v>
      </c>
      <c r="N395" s="8">
        <v>0.16527777777777777</v>
      </c>
      <c r="O395" s="8">
        <v>27</v>
      </c>
      <c r="P395" s="8">
        <v>251213</v>
      </c>
      <c r="Q395" s="8">
        <f>YEAR(Table13[[#This Row],[release_date]])</f>
        <v>2017</v>
      </c>
      <c r="R395" s="8">
        <f>ROUND(Table13[[#This Row],[duration_ms]]/60000,2)</f>
        <v>4.1900000000000004</v>
      </c>
      <c r="S395" s="8" t="str">
        <f>IF(Table13[[#This Row],[valence]]&gt;=0.6, "Happy", IF(Table13[[#This Row],[valence]]&gt;=0.4, "Neutral", "Sad"))</f>
        <v>Sad</v>
      </c>
      <c r="T395" s="8" t="str">
        <f>IF(Table13[[#This Row],[energy]]&gt;=0.7, "High Energy", IF(Table13[[#This Row],[energy]]&gt;=0.4, "Medium Energy", "Low Energy"))</f>
        <v>Low Energy</v>
      </c>
      <c r="U395" s="17" t="str">
        <f>IF(Table13[[#This Row],[popularity]]&gt;70, "Popular", IF(Table13[[#This Row],[popularity]]&lt;40, "Less Popular", "Mid"))</f>
        <v>Less Popular</v>
      </c>
    </row>
    <row r="396" spans="2:21" x14ac:dyDescent="0.3">
      <c r="B396" s="8" t="s">
        <v>547</v>
      </c>
      <c r="C396" s="8" t="s">
        <v>480</v>
      </c>
      <c r="D396" s="9">
        <v>43048</v>
      </c>
      <c r="E396" s="8">
        <v>38</v>
      </c>
      <c r="F396" s="8" t="s">
        <v>548</v>
      </c>
      <c r="G396" s="8">
        <v>0.37986111111111115</v>
      </c>
      <c r="H396" s="8">
        <v>0.56041666666666667</v>
      </c>
      <c r="I396" s="8" t="s">
        <v>549</v>
      </c>
      <c r="J396" s="8">
        <v>0.40833333333333338</v>
      </c>
      <c r="K396" s="8" t="s">
        <v>550</v>
      </c>
      <c r="L396" s="8">
        <v>0.27638888888888891</v>
      </c>
      <c r="M396" s="10">
        <v>139911</v>
      </c>
      <c r="N396" s="8">
        <v>0.44791666666666669</v>
      </c>
      <c r="O396" s="8">
        <v>28</v>
      </c>
      <c r="P396" s="8">
        <v>267653</v>
      </c>
      <c r="Q396" s="8">
        <f>YEAR(Table13[[#This Row],[release_date]])</f>
        <v>2017</v>
      </c>
      <c r="R396" s="8">
        <f>ROUND(Table13[[#This Row],[duration_ms]]/60000,2)</f>
        <v>4.46</v>
      </c>
      <c r="S396" s="8" t="str">
        <f>IF(Table13[[#This Row],[valence]]&gt;=0.6, "Happy", IF(Table13[[#This Row],[valence]]&gt;=0.4, "Neutral", "Sad"))</f>
        <v>Neutral</v>
      </c>
      <c r="T396" s="8" t="str">
        <f>IF(Table13[[#This Row],[energy]]&gt;=0.7, "High Energy", IF(Table13[[#This Row],[energy]]&gt;=0.4, "Medium Energy", "Low Energy"))</f>
        <v>Medium Energy</v>
      </c>
      <c r="U396" s="17" t="str">
        <f>IF(Table13[[#This Row],[popularity]]&gt;70, "Popular", IF(Table13[[#This Row],[popularity]]&lt;40, "Less Popular", "Mid"))</f>
        <v>Less Popular</v>
      </c>
    </row>
    <row r="397" spans="2:21" x14ac:dyDescent="0.3">
      <c r="B397" s="8" t="s">
        <v>551</v>
      </c>
      <c r="C397" s="8" t="s">
        <v>480</v>
      </c>
      <c r="D397" s="9">
        <v>43048</v>
      </c>
      <c r="E397" s="8">
        <v>39</v>
      </c>
      <c r="F397" s="8">
        <v>0.55902777777777779</v>
      </c>
      <c r="G397" s="8">
        <v>0.42152777777777778</v>
      </c>
      <c r="H397" s="8">
        <v>0.5756944444444444</v>
      </c>
      <c r="I397" s="11">
        <v>0</v>
      </c>
      <c r="J397" s="8">
        <v>0.14375000000000002</v>
      </c>
      <c r="K397" s="8" t="s">
        <v>552</v>
      </c>
      <c r="L397" s="8">
        <v>0.40763888888888888</v>
      </c>
      <c r="M397" s="10">
        <v>128055</v>
      </c>
      <c r="N397" s="8">
        <v>0.36180555555555555</v>
      </c>
      <c r="O397" s="8">
        <v>26</v>
      </c>
      <c r="P397" s="8">
        <v>226293</v>
      </c>
      <c r="Q397" s="8">
        <f>YEAR(Table13[[#This Row],[release_date]])</f>
        <v>2017</v>
      </c>
      <c r="R397" s="8">
        <f>ROUND(Table13[[#This Row],[duration_ms]]/60000,2)</f>
        <v>3.77</v>
      </c>
      <c r="S397" s="8" t="str">
        <f>IF(Table13[[#This Row],[valence]]&gt;=0.6, "Happy", IF(Table13[[#This Row],[valence]]&gt;=0.4, "Neutral", "Sad"))</f>
        <v>Sad</v>
      </c>
      <c r="T397" s="8" t="str">
        <f>IF(Table13[[#This Row],[energy]]&gt;=0.7, "High Energy", IF(Table13[[#This Row],[energy]]&gt;=0.4, "Medium Energy", "Low Energy"))</f>
        <v>Medium Energy</v>
      </c>
      <c r="U397" s="17" t="str">
        <f>IF(Table13[[#This Row],[popularity]]&gt;70, "Popular", IF(Table13[[#This Row],[popularity]]&lt;40, "Less Popular", "Mid"))</f>
        <v>Less Popular</v>
      </c>
    </row>
    <row r="398" spans="2:21" x14ac:dyDescent="0.3">
      <c r="B398" s="8" t="s">
        <v>553</v>
      </c>
      <c r="C398" s="8" t="s">
        <v>480</v>
      </c>
      <c r="D398" s="9">
        <v>43048</v>
      </c>
      <c r="E398" s="8">
        <v>40</v>
      </c>
      <c r="F398" s="8">
        <v>0.13263888888888889</v>
      </c>
      <c r="G398" s="8">
        <v>0.5854166666666667</v>
      </c>
      <c r="H398" s="8">
        <v>0.3756944444444445</v>
      </c>
      <c r="I398" s="8" t="s">
        <v>118</v>
      </c>
      <c r="J398" s="8">
        <v>7.4999999999999997E-2</v>
      </c>
      <c r="K398" s="10">
        <v>-7361</v>
      </c>
      <c r="L398" s="8">
        <v>0.22083333333333333</v>
      </c>
      <c r="M398" s="10">
        <v>116002</v>
      </c>
      <c r="N398" s="8">
        <v>0.58263888888888882</v>
      </c>
      <c r="O398" s="8">
        <v>26</v>
      </c>
      <c r="P398" s="8">
        <v>256040</v>
      </c>
      <c r="Q398" s="8">
        <f>YEAR(Table13[[#This Row],[release_date]])</f>
        <v>2017</v>
      </c>
      <c r="R398" s="8">
        <f>ROUND(Table13[[#This Row],[duration_ms]]/60000,2)</f>
        <v>4.2699999999999996</v>
      </c>
      <c r="S398" s="8" t="str">
        <f>IF(Table13[[#This Row],[valence]]&gt;=0.6, "Happy", IF(Table13[[#This Row],[valence]]&gt;=0.4, "Neutral", "Sad"))</f>
        <v>Neutral</v>
      </c>
      <c r="T398" s="8" t="str">
        <f>IF(Table13[[#This Row],[energy]]&gt;=0.7, "High Energy", IF(Table13[[#This Row],[energy]]&gt;=0.4, "Medium Energy", "Low Energy"))</f>
        <v>Low Energy</v>
      </c>
      <c r="U398" s="17" t="str">
        <f>IF(Table13[[#This Row],[popularity]]&gt;70, "Popular", IF(Table13[[#This Row],[popularity]]&lt;40, "Less Popular", "Mid"))</f>
        <v>Less Popular</v>
      </c>
    </row>
    <row r="399" spans="2:21" x14ac:dyDescent="0.3">
      <c r="B399" s="8" t="s">
        <v>554</v>
      </c>
      <c r="C399" s="8" t="s">
        <v>480</v>
      </c>
      <c r="D399" s="9">
        <v>43048</v>
      </c>
      <c r="E399" s="8">
        <v>41</v>
      </c>
      <c r="F399" s="8">
        <v>0.68819444444444444</v>
      </c>
      <c r="G399" s="8">
        <v>0.49444444444444446</v>
      </c>
      <c r="H399" s="8">
        <v>0.41875000000000001</v>
      </c>
      <c r="I399" s="11">
        <v>0</v>
      </c>
      <c r="J399" s="8">
        <v>7.0833333333333331E-2</v>
      </c>
      <c r="K399" s="10">
        <v>-3753</v>
      </c>
      <c r="L399" s="8">
        <v>0.21111111111111111</v>
      </c>
      <c r="M399" s="10">
        <v>118979</v>
      </c>
      <c r="N399" s="8">
        <v>0.49583333333333335</v>
      </c>
      <c r="O399" s="8">
        <v>28</v>
      </c>
      <c r="P399" s="8">
        <v>243346</v>
      </c>
      <c r="Q399" s="8">
        <f>YEAR(Table13[[#This Row],[release_date]])</f>
        <v>2017</v>
      </c>
      <c r="R399" s="8">
        <f>ROUND(Table13[[#This Row],[duration_ms]]/60000,2)</f>
        <v>4.0599999999999996</v>
      </c>
      <c r="S399" s="8" t="str">
        <f>IF(Table13[[#This Row],[valence]]&gt;=0.6, "Happy", IF(Table13[[#This Row],[valence]]&gt;=0.4, "Neutral", "Sad"))</f>
        <v>Neutral</v>
      </c>
      <c r="T399" s="8" t="str">
        <f>IF(Table13[[#This Row],[energy]]&gt;=0.7, "High Energy", IF(Table13[[#This Row],[energy]]&gt;=0.4, "Medium Energy", "Low Energy"))</f>
        <v>Medium Energy</v>
      </c>
      <c r="U399" s="17" t="str">
        <f>IF(Table13[[#This Row],[popularity]]&gt;70, "Popular", IF(Table13[[#This Row],[popularity]]&lt;40, "Less Popular", "Mid"))</f>
        <v>Less Popular</v>
      </c>
    </row>
    <row r="400" spans="2:21" x14ac:dyDescent="0.3">
      <c r="B400" s="8" t="s">
        <v>555</v>
      </c>
      <c r="C400" s="8" t="s">
        <v>480</v>
      </c>
      <c r="D400" s="9">
        <v>43048</v>
      </c>
      <c r="E400" s="8">
        <v>42</v>
      </c>
      <c r="F400" s="8">
        <v>0.34236111111111112</v>
      </c>
      <c r="G400" s="8">
        <v>0.29305555555555557</v>
      </c>
      <c r="H400" s="8">
        <v>0.48055555555555557</v>
      </c>
      <c r="I400" s="8" t="s">
        <v>556</v>
      </c>
      <c r="J400" s="8">
        <v>0.12291666666666667</v>
      </c>
      <c r="K400" s="10">
        <v>-5447</v>
      </c>
      <c r="L400" s="8">
        <v>0.38125000000000003</v>
      </c>
      <c r="M400" s="10">
        <v>184019</v>
      </c>
      <c r="N400" s="8">
        <v>0.13680555555555554</v>
      </c>
      <c r="O400" s="8">
        <v>30</v>
      </c>
      <c r="P400" s="8">
        <v>245560</v>
      </c>
      <c r="Q400" s="8">
        <f>YEAR(Table13[[#This Row],[release_date]])</f>
        <v>2017</v>
      </c>
      <c r="R400" s="8">
        <f>ROUND(Table13[[#This Row],[duration_ms]]/60000,2)</f>
        <v>4.09</v>
      </c>
      <c r="S400" s="8" t="str">
        <f>IF(Table13[[#This Row],[valence]]&gt;=0.6, "Happy", IF(Table13[[#This Row],[valence]]&gt;=0.4, "Neutral", "Sad"))</f>
        <v>Sad</v>
      </c>
      <c r="T400" s="8" t="str">
        <f>IF(Table13[[#This Row],[energy]]&gt;=0.7, "High Energy", IF(Table13[[#This Row],[energy]]&gt;=0.4, "Medium Energy", "Low Energy"))</f>
        <v>Medium Energy</v>
      </c>
      <c r="U400" s="17" t="str">
        <f>IF(Table13[[#This Row],[popularity]]&gt;70, "Popular", IF(Table13[[#This Row],[popularity]]&lt;40, "Less Popular", "Mid"))</f>
        <v>Less Popular</v>
      </c>
    </row>
    <row r="401" spans="2:21" x14ac:dyDescent="0.3">
      <c r="B401" s="8" t="s">
        <v>557</v>
      </c>
      <c r="C401" s="8" t="s">
        <v>480</v>
      </c>
      <c r="D401" s="9">
        <v>43048</v>
      </c>
      <c r="E401" s="8">
        <v>43</v>
      </c>
      <c r="F401" s="8">
        <v>0.21597222222222223</v>
      </c>
      <c r="G401" s="8">
        <v>0.40138888888888885</v>
      </c>
      <c r="H401" s="8">
        <v>0.24166666666666667</v>
      </c>
      <c r="I401" s="11">
        <v>0</v>
      </c>
      <c r="J401" s="11">
        <v>6.9444444444444447E-4</v>
      </c>
      <c r="K401" s="10">
        <v>-8066</v>
      </c>
      <c r="L401" s="8">
        <v>0.17847222222222223</v>
      </c>
      <c r="M401" s="10">
        <v>92671</v>
      </c>
      <c r="N401" s="8">
        <v>0.15138888888888888</v>
      </c>
      <c r="O401" s="8">
        <v>28</v>
      </c>
      <c r="P401" s="8">
        <v>235400</v>
      </c>
      <c r="Q401" s="8">
        <f>YEAR(Table13[[#This Row],[release_date]])</f>
        <v>2017</v>
      </c>
      <c r="R401" s="8">
        <f>ROUND(Table13[[#This Row],[duration_ms]]/60000,2)</f>
        <v>3.92</v>
      </c>
      <c r="S401" s="8" t="str">
        <f>IF(Table13[[#This Row],[valence]]&gt;=0.6, "Happy", IF(Table13[[#This Row],[valence]]&gt;=0.4, "Neutral", "Sad"))</f>
        <v>Sad</v>
      </c>
      <c r="T401" s="8" t="str">
        <f>IF(Table13[[#This Row],[energy]]&gt;=0.7, "High Energy", IF(Table13[[#This Row],[energy]]&gt;=0.4, "Medium Energy", "Low Energy"))</f>
        <v>Low Energy</v>
      </c>
      <c r="U401" s="17" t="str">
        <f>IF(Table13[[#This Row],[popularity]]&gt;70, "Popular", IF(Table13[[#This Row],[popularity]]&lt;40, "Less Popular", "Mid"))</f>
        <v>Less Popular</v>
      </c>
    </row>
    <row r="402" spans="2:21" x14ac:dyDescent="0.3">
      <c r="B402" s="8" t="s">
        <v>558</v>
      </c>
      <c r="C402" s="8" t="s">
        <v>480</v>
      </c>
      <c r="D402" s="9">
        <v>43048</v>
      </c>
      <c r="E402" s="8">
        <v>44</v>
      </c>
      <c r="F402" s="8" t="s">
        <v>559</v>
      </c>
      <c r="G402" s="8">
        <v>0.38611111111111113</v>
      </c>
      <c r="H402" s="8">
        <v>0.6479166666666667</v>
      </c>
      <c r="I402" s="8" t="s">
        <v>560</v>
      </c>
      <c r="J402" s="8">
        <v>7.013888888888889E-2</v>
      </c>
      <c r="K402" s="10">
        <v>-3685</v>
      </c>
      <c r="L402" s="8">
        <v>0.4993055555555555</v>
      </c>
      <c r="M402" s="10">
        <v>143929</v>
      </c>
      <c r="N402" s="8">
        <v>0.36180555555555555</v>
      </c>
      <c r="O402" s="8">
        <v>28</v>
      </c>
      <c r="P402" s="8">
        <v>215600</v>
      </c>
      <c r="Q402" s="8">
        <f>YEAR(Table13[[#This Row],[release_date]])</f>
        <v>2017</v>
      </c>
      <c r="R402" s="8">
        <f>ROUND(Table13[[#This Row],[duration_ms]]/60000,2)</f>
        <v>3.59</v>
      </c>
      <c r="S402" s="8" t="str">
        <f>IF(Table13[[#This Row],[valence]]&gt;=0.6, "Happy", IF(Table13[[#This Row],[valence]]&gt;=0.4, "Neutral", "Sad"))</f>
        <v>Sad</v>
      </c>
      <c r="T402" s="8" t="str">
        <f>IF(Table13[[#This Row],[energy]]&gt;=0.7, "High Energy", IF(Table13[[#This Row],[energy]]&gt;=0.4, "Medium Energy", "Low Energy"))</f>
        <v>Medium Energy</v>
      </c>
      <c r="U402" s="17" t="str">
        <f>IF(Table13[[#This Row],[popularity]]&gt;70, "Popular", IF(Table13[[#This Row],[popularity]]&lt;40, "Less Popular", "Mid"))</f>
        <v>Less Popular</v>
      </c>
    </row>
    <row r="403" spans="2:21" x14ac:dyDescent="0.3">
      <c r="B403" s="8" t="s">
        <v>561</v>
      </c>
      <c r="C403" s="8" t="s">
        <v>480</v>
      </c>
      <c r="D403" s="9">
        <v>43048</v>
      </c>
      <c r="E403" s="8">
        <v>45</v>
      </c>
      <c r="F403" s="8">
        <v>0.12916666666666668</v>
      </c>
      <c r="G403" s="8">
        <v>0.45069444444444445</v>
      </c>
      <c r="H403" s="8">
        <v>0.54097222222222219</v>
      </c>
      <c r="I403" s="8" t="s">
        <v>562</v>
      </c>
      <c r="J403" s="8">
        <v>0.16250000000000001</v>
      </c>
      <c r="K403" s="10">
        <v>-5798</v>
      </c>
      <c r="L403" s="8">
        <v>0.27152777777777776</v>
      </c>
      <c r="M403" s="10">
        <v>126014</v>
      </c>
      <c r="N403" s="8">
        <v>0.4284722222222222</v>
      </c>
      <c r="O403" s="8">
        <v>27</v>
      </c>
      <c r="P403" s="8">
        <v>220600</v>
      </c>
      <c r="Q403" s="8">
        <f>YEAR(Table13[[#This Row],[release_date]])</f>
        <v>2017</v>
      </c>
      <c r="R403" s="8">
        <f>ROUND(Table13[[#This Row],[duration_ms]]/60000,2)</f>
        <v>3.68</v>
      </c>
      <c r="S403" s="8" t="str">
        <f>IF(Table13[[#This Row],[valence]]&gt;=0.6, "Happy", IF(Table13[[#This Row],[valence]]&gt;=0.4, "Neutral", "Sad"))</f>
        <v>Neutral</v>
      </c>
      <c r="T403" s="8" t="str">
        <f>IF(Table13[[#This Row],[energy]]&gt;=0.7, "High Energy", IF(Table13[[#This Row],[energy]]&gt;=0.4, "Medium Energy", "Low Energy"))</f>
        <v>Medium Energy</v>
      </c>
      <c r="U403" s="17" t="str">
        <f>IF(Table13[[#This Row],[popularity]]&gt;70, "Popular", IF(Table13[[#This Row],[popularity]]&lt;40, "Less Popular", "Mid"))</f>
        <v>Less Popular</v>
      </c>
    </row>
    <row r="404" spans="2:21" x14ac:dyDescent="0.3">
      <c r="B404" s="8" t="s">
        <v>563</v>
      </c>
      <c r="C404" s="8" t="s">
        <v>480</v>
      </c>
      <c r="D404" s="9">
        <v>43048</v>
      </c>
      <c r="E404" s="8">
        <v>46</v>
      </c>
      <c r="F404" s="8">
        <v>0.16874999999999998</v>
      </c>
      <c r="G404" s="8">
        <v>0.41875000000000001</v>
      </c>
      <c r="H404" s="8">
        <v>0.52430555555555558</v>
      </c>
      <c r="I404" s="11">
        <v>0</v>
      </c>
      <c r="J404" s="8">
        <v>0.12361111111111112</v>
      </c>
      <c r="K404" s="10">
        <v>-4991</v>
      </c>
      <c r="L404" s="8">
        <v>0.49236111111111108</v>
      </c>
      <c r="M404" s="10">
        <v>159971</v>
      </c>
      <c r="N404" s="8">
        <v>0.3444444444444445</v>
      </c>
      <c r="O404" s="8">
        <v>28</v>
      </c>
      <c r="P404" s="8">
        <v>195706</v>
      </c>
      <c r="Q404" s="8">
        <f>YEAR(Table13[[#This Row],[release_date]])</f>
        <v>2017</v>
      </c>
      <c r="R404" s="8">
        <f>ROUND(Table13[[#This Row],[duration_ms]]/60000,2)</f>
        <v>3.26</v>
      </c>
      <c r="S404" s="8" t="str">
        <f>IF(Table13[[#This Row],[valence]]&gt;=0.6, "Happy", IF(Table13[[#This Row],[valence]]&gt;=0.4, "Neutral", "Sad"))</f>
        <v>Sad</v>
      </c>
      <c r="T404" s="8" t="str">
        <f>IF(Table13[[#This Row],[energy]]&gt;=0.7, "High Energy", IF(Table13[[#This Row],[energy]]&gt;=0.4, "Medium Energy", "Low Energy"))</f>
        <v>Medium Energy</v>
      </c>
      <c r="U404" s="17" t="str">
        <f>IF(Table13[[#This Row],[popularity]]&gt;70, "Popular", IF(Table13[[#This Row],[popularity]]&lt;40, "Less Popular", "Mid"))</f>
        <v>Less Popular</v>
      </c>
    </row>
    <row r="405" spans="2:21" x14ac:dyDescent="0.3">
      <c r="B405" s="8" t="s">
        <v>521</v>
      </c>
      <c r="C405" s="8" t="s">
        <v>564</v>
      </c>
      <c r="D405" s="9">
        <v>41640</v>
      </c>
      <c r="E405" s="8">
        <v>1</v>
      </c>
      <c r="F405" s="8">
        <v>0.24166666666666667</v>
      </c>
      <c r="G405" s="8">
        <v>0.54791666666666672</v>
      </c>
      <c r="H405" s="8">
        <v>0.44027777777777777</v>
      </c>
      <c r="I405" s="8" t="s">
        <v>565</v>
      </c>
      <c r="J405" s="8">
        <v>0.20972222222222223</v>
      </c>
      <c r="K405" s="10">
        <v>-4762</v>
      </c>
      <c r="L405" s="8">
        <v>0.22430555555555556</v>
      </c>
      <c r="M405" s="10">
        <v>116992</v>
      </c>
      <c r="N405" s="8">
        <v>0.45694444444444443</v>
      </c>
      <c r="O405" s="8">
        <v>48</v>
      </c>
      <c r="P405" s="8">
        <v>212600</v>
      </c>
      <c r="Q405" s="8">
        <f>YEAR(Table13[[#This Row],[release_date]])</f>
        <v>2014</v>
      </c>
      <c r="R405" s="8">
        <f>ROUND(Table13[[#This Row],[duration_ms]]/60000,2)</f>
        <v>3.54</v>
      </c>
      <c r="S405" s="8" t="str">
        <f>IF(Table13[[#This Row],[valence]]&gt;=0.6, "Happy", IF(Table13[[#This Row],[valence]]&gt;=0.4, "Neutral", "Sad"))</f>
        <v>Neutral</v>
      </c>
      <c r="T405" s="8" t="str">
        <f>IF(Table13[[#This Row],[energy]]&gt;=0.7, "High Energy", IF(Table13[[#This Row],[energy]]&gt;=0.4, "Medium Energy", "Low Energy"))</f>
        <v>Medium Energy</v>
      </c>
      <c r="U405" s="17" t="str">
        <f>IF(Table13[[#This Row],[popularity]]&gt;70, "Popular", IF(Table13[[#This Row],[popularity]]&lt;40, "Less Popular", "Mid"))</f>
        <v>Mid</v>
      </c>
    </row>
    <row r="406" spans="2:21" x14ac:dyDescent="0.3">
      <c r="B406" s="8" t="s">
        <v>566</v>
      </c>
      <c r="C406" s="8" t="s">
        <v>564</v>
      </c>
      <c r="D406" s="9">
        <v>41640</v>
      </c>
      <c r="E406" s="8">
        <v>2</v>
      </c>
      <c r="F406" s="8">
        <v>7.1527777777777773E-2</v>
      </c>
      <c r="G406" s="8">
        <v>5.2777777777777778E-2</v>
      </c>
      <c r="H406" s="8">
        <v>0.48819444444444443</v>
      </c>
      <c r="I406" s="11">
        <v>0</v>
      </c>
      <c r="J406" s="8">
        <v>0.63402777777777775</v>
      </c>
      <c r="K406" s="10">
        <v>-5412</v>
      </c>
      <c r="L406" s="8" t="s">
        <v>422</v>
      </c>
      <c r="M406" s="10">
        <v>95997</v>
      </c>
      <c r="N406" s="11">
        <v>3.9583333333333331E-2</v>
      </c>
      <c r="O406" s="8">
        <v>81</v>
      </c>
      <c r="P406" s="8">
        <v>231826</v>
      </c>
      <c r="Q406" s="8">
        <f>YEAR(Table13[[#This Row],[release_date]])</f>
        <v>2014</v>
      </c>
      <c r="R406" s="8">
        <f>ROUND(Table13[[#This Row],[duration_ms]]/60000,2)</f>
        <v>3.86</v>
      </c>
      <c r="S406" s="8" t="str">
        <f>IF(Table13[[#This Row],[valence]]&gt;=0.6, "Happy", IF(Table13[[#This Row],[valence]]&gt;=0.4, "Neutral", "Sad"))</f>
        <v>Sad</v>
      </c>
      <c r="T406" s="8" t="str">
        <f>IF(Table13[[#This Row],[energy]]&gt;=0.7, "High Energy", IF(Table13[[#This Row],[energy]]&gt;=0.4, "Medium Energy", "Low Energy"))</f>
        <v>Medium Energy</v>
      </c>
      <c r="U406" s="17" t="str">
        <f>IF(Table13[[#This Row],[popularity]]&gt;70, "Popular", IF(Table13[[#This Row],[popularity]]&lt;40, "Less Popular", "Mid"))</f>
        <v>Popular</v>
      </c>
    </row>
    <row r="407" spans="2:21" x14ac:dyDescent="0.3">
      <c r="B407" s="8" t="s">
        <v>567</v>
      </c>
      <c r="C407" s="8" t="s">
        <v>564</v>
      </c>
      <c r="D407" s="9">
        <v>41640</v>
      </c>
      <c r="E407" s="8">
        <v>3</v>
      </c>
      <c r="F407" s="8" t="s">
        <v>568</v>
      </c>
      <c r="G407" s="8">
        <v>0.40833333333333338</v>
      </c>
      <c r="H407" s="8">
        <v>0.5493055555555556</v>
      </c>
      <c r="I407" s="8" t="s">
        <v>569</v>
      </c>
      <c r="J407" s="8">
        <v>8.1944444444444445E-2</v>
      </c>
      <c r="K407" s="10">
        <v>-5595</v>
      </c>
      <c r="L407" s="8">
        <v>0.27916666666666667</v>
      </c>
      <c r="M407" s="10">
        <v>94933</v>
      </c>
      <c r="N407" s="8">
        <v>0.33819444444444446</v>
      </c>
      <c r="O407" s="8">
        <v>79</v>
      </c>
      <c r="P407" s="8">
        <v>231000</v>
      </c>
      <c r="Q407" s="8">
        <f>YEAR(Table13[[#This Row],[release_date]])</f>
        <v>2014</v>
      </c>
      <c r="R407" s="8">
        <f>ROUND(Table13[[#This Row],[duration_ms]]/60000,2)</f>
        <v>3.85</v>
      </c>
      <c r="S407" s="8" t="str">
        <f>IF(Table13[[#This Row],[valence]]&gt;=0.6, "Happy", IF(Table13[[#This Row],[valence]]&gt;=0.4, "Neutral", "Sad"))</f>
        <v>Sad</v>
      </c>
      <c r="T407" s="8" t="str">
        <f>IF(Table13[[#This Row],[energy]]&gt;=0.7, "High Energy", IF(Table13[[#This Row],[energy]]&gt;=0.4, "Medium Energy", "Low Energy"))</f>
        <v>Medium Energy</v>
      </c>
      <c r="U407" s="17" t="str">
        <f>IF(Table13[[#This Row],[popularity]]&gt;70, "Popular", IF(Table13[[#This Row],[popularity]]&lt;40, "Less Popular", "Mid"))</f>
        <v>Popular</v>
      </c>
    </row>
    <row r="408" spans="2:21" x14ac:dyDescent="0.3">
      <c r="B408" s="8" t="s">
        <v>530</v>
      </c>
      <c r="C408" s="8" t="s">
        <v>564</v>
      </c>
      <c r="D408" s="9">
        <v>41640</v>
      </c>
      <c r="E408" s="8">
        <v>4</v>
      </c>
      <c r="F408" s="8" t="s">
        <v>531</v>
      </c>
      <c r="G408" s="8">
        <v>0.3840277777777778</v>
      </c>
      <c r="H408" s="8">
        <v>0.58402777777777781</v>
      </c>
      <c r="I408" s="8" t="s">
        <v>570</v>
      </c>
      <c r="J408" s="8">
        <v>0.23680555555555557</v>
      </c>
      <c r="K408" s="10">
        <v>-6937</v>
      </c>
      <c r="L408" s="8">
        <v>0.27499999999999997</v>
      </c>
      <c r="M408" s="10">
        <v>92008</v>
      </c>
      <c r="N408" s="8">
        <v>0.23472222222222225</v>
      </c>
      <c r="O408" s="8">
        <v>59</v>
      </c>
      <c r="P408" s="8">
        <v>235800</v>
      </c>
      <c r="Q408" s="8">
        <f>YEAR(Table13[[#This Row],[release_date]])</f>
        <v>2014</v>
      </c>
      <c r="R408" s="8">
        <f>ROUND(Table13[[#This Row],[duration_ms]]/60000,2)</f>
        <v>3.93</v>
      </c>
      <c r="S408" s="8" t="str">
        <f>IF(Table13[[#This Row],[valence]]&gt;=0.6, "Happy", IF(Table13[[#This Row],[valence]]&gt;=0.4, "Neutral", "Sad"))</f>
        <v>Sad</v>
      </c>
      <c r="T408" s="8" t="str">
        <f>IF(Table13[[#This Row],[energy]]&gt;=0.7, "High Energy", IF(Table13[[#This Row],[energy]]&gt;=0.4, "Medium Energy", "Low Energy"))</f>
        <v>Medium Energy</v>
      </c>
      <c r="U408" s="17" t="str">
        <f>IF(Table13[[#This Row],[popularity]]&gt;70, "Popular", IF(Table13[[#This Row],[popularity]]&lt;40, "Less Popular", "Mid"))</f>
        <v>Mid</v>
      </c>
    </row>
    <row r="409" spans="2:21" x14ac:dyDescent="0.3">
      <c r="B409" s="8" t="s">
        <v>571</v>
      </c>
      <c r="C409" s="8" t="s">
        <v>564</v>
      </c>
      <c r="D409" s="9">
        <v>41640</v>
      </c>
      <c r="E409" s="8">
        <v>5</v>
      </c>
      <c r="F409" s="8" t="s">
        <v>572</v>
      </c>
      <c r="G409" s="8">
        <v>0.4201388888888889</v>
      </c>
      <c r="H409" s="8">
        <v>0.50347222222222221</v>
      </c>
      <c r="I409" s="8" t="s">
        <v>573</v>
      </c>
      <c r="J409" s="8">
        <v>7.013888888888889E-2</v>
      </c>
      <c r="K409" s="10">
        <v>-5729</v>
      </c>
      <c r="L409" s="8">
        <v>0.22430555555555556</v>
      </c>
      <c r="M409" s="8" t="s">
        <v>574</v>
      </c>
      <c r="N409" s="8">
        <v>0.3743055555555555</v>
      </c>
      <c r="O409" s="8">
        <v>47</v>
      </c>
      <c r="P409" s="8">
        <v>193293</v>
      </c>
      <c r="Q409" s="8">
        <f>YEAR(Table13[[#This Row],[release_date]])</f>
        <v>2014</v>
      </c>
      <c r="R409" s="8">
        <f>ROUND(Table13[[#This Row],[duration_ms]]/60000,2)</f>
        <v>3.22</v>
      </c>
      <c r="S409" s="8" t="str">
        <f>IF(Table13[[#This Row],[valence]]&gt;=0.6, "Happy", IF(Table13[[#This Row],[valence]]&gt;=0.4, "Neutral", "Sad"))</f>
        <v>Sad</v>
      </c>
      <c r="T409" s="8" t="str">
        <f>IF(Table13[[#This Row],[energy]]&gt;=0.7, "High Energy", IF(Table13[[#This Row],[energy]]&gt;=0.4, "Medium Energy", "Low Energy"))</f>
        <v>Medium Energy</v>
      </c>
      <c r="U409" s="17" t="str">
        <f>IF(Table13[[#This Row],[popularity]]&gt;70, "Popular", IF(Table13[[#This Row],[popularity]]&lt;40, "Less Popular", "Mid"))</f>
        <v>Mid</v>
      </c>
    </row>
    <row r="410" spans="2:21" x14ac:dyDescent="0.3">
      <c r="B410" s="8" t="s">
        <v>575</v>
      </c>
      <c r="C410" s="8" t="s">
        <v>564</v>
      </c>
      <c r="D410" s="9">
        <v>41640</v>
      </c>
      <c r="E410" s="8">
        <v>6</v>
      </c>
      <c r="F410" s="8">
        <v>0.44930555555555557</v>
      </c>
      <c r="G410" s="8">
        <v>0.44930555555555557</v>
      </c>
      <c r="H410" s="11">
        <v>5.5555555555555558E-3</v>
      </c>
      <c r="I410" s="11">
        <v>0</v>
      </c>
      <c r="J410" s="8">
        <v>0.23194444444444443</v>
      </c>
      <c r="K410" s="10">
        <v>-5384</v>
      </c>
      <c r="L410" s="8">
        <v>0.11458333333333333</v>
      </c>
      <c r="M410" s="10">
        <v>160078</v>
      </c>
      <c r="N410" s="8">
        <v>0.65416666666666667</v>
      </c>
      <c r="O410" s="8">
        <v>80</v>
      </c>
      <c r="P410" s="8">
        <v>219200</v>
      </c>
      <c r="Q410" s="8">
        <f>YEAR(Table13[[#This Row],[release_date]])</f>
        <v>2014</v>
      </c>
      <c r="R410" s="8">
        <f>ROUND(Table13[[#This Row],[duration_ms]]/60000,2)</f>
        <v>3.65</v>
      </c>
      <c r="S410" s="8" t="str">
        <f>IF(Table13[[#This Row],[valence]]&gt;=0.6, "Happy", IF(Table13[[#This Row],[valence]]&gt;=0.4, "Neutral", "Sad"))</f>
        <v>Happy</v>
      </c>
      <c r="T410" s="8" t="str">
        <f>IF(Table13[[#This Row],[energy]]&gt;=0.7, "High Energy", IF(Table13[[#This Row],[energy]]&gt;=0.4, "Medium Energy", "Low Energy"))</f>
        <v>Low Energy</v>
      </c>
      <c r="U410" s="17" t="str">
        <f>IF(Table13[[#This Row],[popularity]]&gt;70, "Popular", IF(Table13[[#This Row],[popularity]]&lt;40, "Less Popular", "Mid"))</f>
        <v>Popular</v>
      </c>
    </row>
    <row r="411" spans="2:21" x14ac:dyDescent="0.3">
      <c r="B411" s="8" t="s">
        <v>576</v>
      </c>
      <c r="C411" s="8" t="s">
        <v>564</v>
      </c>
      <c r="D411" s="9">
        <v>41640</v>
      </c>
      <c r="E411" s="8">
        <v>7</v>
      </c>
      <c r="F411" s="8">
        <v>0.10972222222222222</v>
      </c>
      <c r="G411" s="8">
        <v>0.45347222222222222</v>
      </c>
      <c r="H411" s="8">
        <v>0.62013888888888891</v>
      </c>
      <c r="I411" s="8" t="s">
        <v>577</v>
      </c>
      <c r="J411" s="8">
        <v>7.0833333333333331E-2</v>
      </c>
      <c r="K411" s="10">
        <v>-5966</v>
      </c>
      <c r="L411" s="8">
        <v>0.37361111111111112</v>
      </c>
      <c r="M411" s="10">
        <v>118035</v>
      </c>
      <c r="N411" s="8">
        <v>0.35625000000000001</v>
      </c>
      <c r="O411" s="8">
        <v>51</v>
      </c>
      <c r="P411" s="8">
        <v>207440</v>
      </c>
      <c r="Q411" s="8">
        <f>YEAR(Table13[[#This Row],[release_date]])</f>
        <v>2014</v>
      </c>
      <c r="R411" s="8">
        <f>ROUND(Table13[[#This Row],[duration_ms]]/60000,2)</f>
        <v>3.46</v>
      </c>
      <c r="S411" s="8" t="str">
        <f>IF(Table13[[#This Row],[valence]]&gt;=0.6, "Happy", IF(Table13[[#This Row],[valence]]&gt;=0.4, "Neutral", "Sad"))</f>
        <v>Sad</v>
      </c>
      <c r="T411" s="8" t="str">
        <f>IF(Table13[[#This Row],[energy]]&gt;=0.7, "High Energy", IF(Table13[[#This Row],[energy]]&gt;=0.4, "Medium Energy", "Low Energy"))</f>
        <v>Medium Energy</v>
      </c>
      <c r="U411" s="17" t="str">
        <f>IF(Table13[[#This Row],[popularity]]&gt;70, "Popular", IF(Table13[[#This Row],[popularity]]&lt;40, "Less Popular", "Mid"))</f>
        <v>Mid</v>
      </c>
    </row>
    <row r="412" spans="2:21" x14ac:dyDescent="0.3">
      <c r="B412" s="8" t="s">
        <v>578</v>
      </c>
      <c r="C412" s="8" t="s">
        <v>564</v>
      </c>
      <c r="D412" s="9">
        <v>41640</v>
      </c>
      <c r="E412" s="8">
        <v>8</v>
      </c>
      <c r="F412" s="8">
        <v>0.61458333333333337</v>
      </c>
      <c r="G412" s="8">
        <v>0.44861111111111113</v>
      </c>
      <c r="H412" s="8">
        <v>0.55138888888888882</v>
      </c>
      <c r="I412" s="8" t="s">
        <v>579</v>
      </c>
      <c r="J412" s="8">
        <v>0.13958333333333334</v>
      </c>
      <c r="K412" s="10">
        <v>-6104</v>
      </c>
      <c r="L412" s="11">
        <v>1.3194444444444444E-2</v>
      </c>
      <c r="M412" s="10">
        <v>170216</v>
      </c>
      <c r="N412" s="8">
        <v>0.19930555555555554</v>
      </c>
      <c r="O412" s="8">
        <v>52</v>
      </c>
      <c r="P412" s="8">
        <v>211933</v>
      </c>
      <c r="Q412" s="8">
        <f>YEAR(Table13[[#This Row],[release_date]])</f>
        <v>2014</v>
      </c>
      <c r="R412" s="8">
        <f>ROUND(Table13[[#This Row],[duration_ms]]/60000,2)</f>
        <v>3.53</v>
      </c>
      <c r="S412" s="8" t="str">
        <f>IF(Table13[[#This Row],[valence]]&gt;=0.6, "Happy", IF(Table13[[#This Row],[valence]]&gt;=0.4, "Neutral", "Sad"))</f>
        <v>Sad</v>
      </c>
      <c r="T412" s="8" t="str">
        <f>IF(Table13[[#This Row],[energy]]&gt;=0.7, "High Energy", IF(Table13[[#This Row],[energy]]&gt;=0.4, "Medium Energy", "Low Energy"))</f>
        <v>Medium Energy</v>
      </c>
      <c r="U412" s="17" t="str">
        <f>IF(Table13[[#This Row],[popularity]]&gt;70, "Popular", IF(Table13[[#This Row],[popularity]]&lt;40, "Less Popular", "Mid"))</f>
        <v>Mid</v>
      </c>
    </row>
    <row r="413" spans="2:21" x14ac:dyDescent="0.3">
      <c r="B413" s="8" t="s">
        <v>482</v>
      </c>
      <c r="C413" s="8" t="s">
        <v>564</v>
      </c>
      <c r="D413" s="9">
        <v>41640</v>
      </c>
      <c r="E413" s="8">
        <v>9</v>
      </c>
      <c r="F413" s="8">
        <v>0.48055555555555557</v>
      </c>
      <c r="G413" s="11">
        <v>3.8194444444444441E-2</v>
      </c>
      <c r="H413" s="8">
        <v>0.4777777777777778</v>
      </c>
      <c r="I413" s="8" t="s">
        <v>41</v>
      </c>
      <c r="J413" s="8">
        <v>7.3611111111111113E-2</v>
      </c>
      <c r="K413" s="10">
        <v>-7416</v>
      </c>
      <c r="L413" s="8">
        <v>0.62291666666666667</v>
      </c>
      <c r="M413" s="10">
        <v>139997</v>
      </c>
      <c r="N413" s="8">
        <v>0.32291666666666669</v>
      </c>
      <c r="O413" s="8">
        <v>52</v>
      </c>
      <c r="P413" s="8">
        <v>220440</v>
      </c>
      <c r="Q413" s="8">
        <f>YEAR(Table13[[#This Row],[release_date]])</f>
        <v>2014</v>
      </c>
      <c r="R413" s="8">
        <f>ROUND(Table13[[#This Row],[duration_ms]]/60000,2)</f>
        <v>3.67</v>
      </c>
      <c r="S413" s="8" t="str">
        <f>IF(Table13[[#This Row],[valence]]&gt;=0.6, "Happy", IF(Table13[[#This Row],[valence]]&gt;=0.4, "Neutral", "Sad"))</f>
        <v>Sad</v>
      </c>
      <c r="T413" s="8" t="str">
        <f>IF(Table13[[#This Row],[energy]]&gt;=0.7, "High Energy", IF(Table13[[#This Row],[energy]]&gt;=0.4, "Medium Energy", "Low Energy"))</f>
        <v>Medium Energy</v>
      </c>
      <c r="U413" s="17" t="str">
        <f>IF(Table13[[#This Row],[popularity]]&gt;70, "Popular", IF(Table13[[#This Row],[popularity]]&lt;40, "Less Popular", "Mid"))</f>
        <v>Mid</v>
      </c>
    </row>
    <row r="414" spans="2:21" x14ac:dyDescent="0.3">
      <c r="B414" s="8" t="s">
        <v>502</v>
      </c>
      <c r="C414" s="8" t="s">
        <v>564</v>
      </c>
      <c r="D414" s="9">
        <v>41640</v>
      </c>
      <c r="E414" s="8">
        <v>10</v>
      </c>
      <c r="F414" s="8" t="s">
        <v>580</v>
      </c>
      <c r="G414" s="8">
        <v>0.53125</v>
      </c>
      <c r="H414" s="8">
        <v>0.45555555555555555</v>
      </c>
      <c r="I414" s="8" t="s">
        <v>581</v>
      </c>
      <c r="J414" s="8">
        <v>0.63750000000000007</v>
      </c>
      <c r="K414" s="10">
        <v>-6112</v>
      </c>
      <c r="L414" s="8">
        <v>0.35000000000000003</v>
      </c>
      <c r="M414" s="10">
        <v>119997</v>
      </c>
      <c r="N414" s="8">
        <v>0.37847222222222227</v>
      </c>
      <c r="O414" s="8">
        <v>55</v>
      </c>
      <c r="P414" s="8">
        <v>247533</v>
      </c>
      <c r="Q414" s="8">
        <f>YEAR(Table13[[#This Row],[release_date]])</f>
        <v>2014</v>
      </c>
      <c r="R414" s="8">
        <f>ROUND(Table13[[#This Row],[duration_ms]]/60000,2)</f>
        <v>4.13</v>
      </c>
      <c r="S414" s="8" t="str">
        <f>IF(Table13[[#This Row],[valence]]&gt;=0.6, "Happy", IF(Table13[[#This Row],[valence]]&gt;=0.4, "Neutral", "Sad"))</f>
        <v>Sad</v>
      </c>
      <c r="T414" s="8" t="str">
        <f>IF(Table13[[#This Row],[energy]]&gt;=0.7, "High Energy", IF(Table13[[#This Row],[energy]]&gt;=0.4, "Medium Energy", "Low Energy"))</f>
        <v>Medium Energy</v>
      </c>
      <c r="U414" s="17" t="str">
        <f>IF(Table13[[#This Row],[popularity]]&gt;70, "Popular", IF(Table13[[#This Row],[popularity]]&lt;40, "Less Popular", "Mid"))</f>
        <v>Mid</v>
      </c>
    </row>
    <row r="415" spans="2:21" x14ac:dyDescent="0.3">
      <c r="B415" s="8" t="s">
        <v>537</v>
      </c>
      <c r="C415" s="8" t="s">
        <v>564</v>
      </c>
      <c r="D415" s="9">
        <v>41640</v>
      </c>
      <c r="E415" s="8">
        <v>11</v>
      </c>
      <c r="F415" s="8">
        <v>0.47083333333333338</v>
      </c>
      <c r="G415" s="8">
        <v>0.33402777777777781</v>
      </c>
      <c r="H415" s="8">
        <v>0.30208333333333331</v>
      </c>
      <c r="I415" s="11">
        <v>0</v>
      </c>
      <c r="J415" s="8">
        <v>0.64444444444444449</v>
      </c>
      <c r="K415" s="10">
        <v>-8795</v>
      </c>
      <c r="L415" s="8">
        <v>0.22291666666666665</v>
      </c>
      <c r="M415" s="8" t="s">
        <v>582</v>
      </c>
      <c r="N415" s="8">
        <v>7.4305555555555555E-2</v>
      </c>
      <c r="O415" s="8">
        <v>50</v>
      </c>
      <c r="P415" s="8">
        <v>250093</v>
      </c>
      <c r="Q415" s="8">
        <f>YEAR(Table13[[#This Row],[release_date]])</f>
        <v>2014</v>
      </c>
      <c r="R415" s="8">
        <f>ROUND(Table13[[#This Row],[duration_ms]]/60000,2)</f>
        <v>4.17</v>
      </c>
      <c r="S415" s="8" t="str">
        <f>IF(Table13[[#This Row],[valence]]&gt;=0.6, "Happy", IF(Table13[[#This Row],[valence]]&gt;=0.4, "Neutral", "Sad"))</f>
        <v>Sad</v>
      </c>
      <c r="T415" s="8" t="str">
        <f>IF(Table13[[#This Row],[energy]]&gt;=0.7, "High Energy", IF(Table13[[#This Row],[energy]]&gt;=0.4, "Medium Energy", "Low Energy"))</f>
        <v>Low Energy</v>
      </c>
      <c r="U415" s="17" t="str">
        <f>IF(Table13[[#This Row],[popularity]]&gt;70, "Popular", IF(Table13[[#This Row],[popularity]]&lt;40, "Less Popular", "Mid"))</f>
        <v>Mid</v>
      </c>
    </row>
    <row r="416" spans="2:21" x14ac:dyDescent="0.3">
      <c r="B416" s="8" t="s">
        <v>563</v>
      </c>
      <c r="C416" s="8" t="s">
        <v>564</v>
      </c>
      <c r="D416" s="9">
        <v>41640</v>
      </c>
      <c r="E416" s="8">
        <v>12</v>
      </c>
      <c r="F416" s="8">
        <v>0.17013888888888887</v>
      </c>
      <c r="G416" s="8">
        <v>0.41805555555555557</v>
      </c>
      <c r="H416" s="8">
        <v>0.52430555555555558</v>
      </c>
      <c r="I416" s="11">
        <v>0</v>
      </c>
      <c r="J416" s="8">
        <v>0.12361111111111112</v>
      </c>
      <c r="K416" s="10">
        <v>-4991</v>
      </c>
      <c r="L416" s="8" t="s">
        <v>91</v>
      </c>
      <c r="M416" s="10">
        <v>159965</v>
      </c>
      <c r="N416" s="8">
        <v>0.34375</v>
      </c>
      <c r="O416" s="8">
        <v>50</v>
      </c>
      <c r="P416" s="8">
        <v>195706</v>
      </c>
      <c r="Q416" s="8">
        <f>YEAR(Table13[[#This Row],[release_date]])</f>
        <v>2014</v>
      </c>
      <c r="R416" s="8">
        <f>ROUND(Table13[[#This Row],[duration_ms]]/60000,2)</f>
        <v>3.26</v>
      </c>
      <c r="S416" s="8" t="str">
        <f>IF(Table13[[#This Row],[valence]]&gt;=0.6, "Happy", IF(Table13[[#This Row],[valence]]&gt;=0.4, "Neutral", "Sad"))</f>
        <v>Sad</v>
      </c>
      <c r="T416" s="8" t="str">
        <f>IF(Table13[[#This Row],[energy]]&gt;=0.7, "High Energy", IF(Table13[[#This Row],[energy]]&gt;=0.4, "Medium Energy", "Low Energy"))</f>
        <v>Medium Energy</v>
      </c>
      <c r="U416" s="17" t="str">
        <f>IF(Table13[[#This Row],[popularity]]&gt;70, "Popular", IF(Table13[[#This Row],[popularity]]&lt;40, "Less Popular", "Mid"))</f>
        <v>Mid</v>
      </c>
    </row>
    <row r="417" spans="2:21" x14ac:dyDescent="0.3">
      <c r="B417" s="8" t="s">
        <v>583</v>
      </c>
      <c r="C417" s="8" t="s">
        <v>564</v>
      </c>
      <c r="D417" s="9">
        <v>41640</v>
      </c>
      <c r="E417" s="8">
        <v>13</v>
      </c>
      <c r="F417" s="8">
        <v>0.16111111111111112</v>
      </c>
      <c r="G417" s="8">
        <v>0.56597222222222221</v>
      </c>
      <c r="H417" s="8">
        <v>0.26180555555555557</v>
      </c>
      <c r="I417" s="11">
        <v>0</v>
      </c>
      <c r="J417" s="11">
        <v>6.9444444444444447E-4</v>
      </c>
      <c r="K417" s="10">
        <v>-7754</v>
      </c>
      <c r="L417" s="8">
        <v>0.24027777777777778</v>
      </c>
      <c r="M417" s="8" t="s">
        <v>584</v>
      </c>
      <c r="N417" s="8">
        <v>0.14652777777777778</v>
      </c>
      <c r="O417" s="8">
        <v>55</v>
      </c>
      <c r="P417" s="8">
        <v>271000</v>
      </c>
      <c r="Q417" s="8">
        <f>YEAR(Table13[[#This Row],[release_date]])</f>
        <v>2014</v>
      </c>
      <c r="R417" s="8">
        <f>ROUND(Table13[[#This Row],[duration_ms]]/60000,2)</f>
        <v>4.5199999999999996</v>
      </c>
      <c r="S417" s="8" t="str">
        <f>IF(Table13[[#This Row],[valence]]&gt;=0.6, "Happy", IF(Table13[[#This Row],[valence]]&gt;=0.4, "Neutral", "Sad"))</f>
        <v>Sad</v>
      </c>
      <c r="T417" s="8" t="str">
        <f>IF(Table13[[#This Row],[energy]]&gt;=0.7, "High Energy", IF(Table13[[#This Row],[energy]]&gt;=0.4, "Medium Energy", "Low Energy"))</f>
        <v>Low Energy</v>
      </c>
      <c r="U417" s="17" t="str">
        <f>IF(Table13[[#This Row],[popularity]]&gt;70, "Popular", IF(Table13[[#This Row],[popularity]]&lt;40, "Less Popular", "Mid"))</f>
        <v>Mid</v>
      </c>
    </row>
    <row r="418" spans="2:21" x14ac:dyDescent="0.3">
      <c r="B418" s="8" t="s">
        <v>555</v>
      </c>
      <c r="C418" s="8" t="s">
        <v>564</v>
      </c>
      <c r="D418" s="9">
        <v>41640</v>
      </c>
      <c r="E418" s="8">
        <v>14</v>
      </c>
      <c r="F418" s="8">
        <v>0.34236111111111112</v>
      </c>
      <c r="G418" s="8">
        <v>0.29305555555555557</v>
      </c>
      <c r="H418" s="8">
        <v>0.48055555555555557</v>
      </c>
      <c r="I418" s="8" t="s">
        <v>556</v>
      </c>
      <c r="J418" s="8">
        <v>0.12291666666666667</v>
      </c>
      <c r="K418" s="10">
        <v>-5447</v>
      </c>
      <c r="L418" s="8">
        <v>0.38125000000000003</v>
      </c>
      <c r="M418" s="10">
        <v>184014</v>
      </c>
      <c r="N418" s="8">
        <v>0.13680555555555554</v>
      </c>
      <c r="O418" s="8">
        <v>55</v>
      </c>
      <c r="P418" s="8">
        <v>245560</v>
      </c>
      <c r="Q418" s="8">
        <f>YEAR(Table13[[#This Row],[release_date]])</f>
        <v>2014</v>
      </c>
      <c r="R418" s="8">
        <f>ROUND(Table13[[#This Row],[duration_ms]]/60000,2)</f>
        <v>4.09</v>
      </c>
      <c r="S418" s="8" t="str">
        <f>IF(Table13[[#This Row],[valence]]&gt;=0.6, "Happy", IF(Table13[[#This Row],[valence]]&gt;=0.4, "Neutral", "Sad"))</f>
        <v>Sad</v>
      </c>
      <c r="T418" s="8" t="str">
        <f>IF(Table13[[#This Row],[energy]]&gt;=0.7, "High Energy", IF(Table13[[#This Row],[energy]]&gt;=0.4, "Medium Energy", "Low Energy"))</f>
        <v>Medium Energy</v>
      </c>
      <c r="U418" s="17" t="str">
        <f>IF(Table13[[#This Row],[popularity]]&gt;70, "Popular", IF(Table13[[#This Row],[popularity]]&lt;40, "Less Popular", "Mid"))</f>
        <v>Mid</v>
      </c>
    </row>
    <row r="419" spans="2:21" x14ac:dyDescent="0.3">
      <c r="B419" s="8" t="s">
        <v>585</v>
      </c>
      <c r="C419" s="8" t="s">
        <v>564</v>
      </c>
      <c r="D419" s="9">
        <v>41640</v>
      </c>
      <c r="E419" s="8">
        <v>15</v>
      </c>
      <c r="F419" s="8">
        <v>0.4909722222222222</v>
      </c>
      <c r="G419" s="8">
        <v>0.32916666666666666</v>
      </c>
      <c r="H419" s="11">
        <v>3.3333333333333333E-2</v>
      </c>
      <c r="I419" s="8" t="s">
        <v>586</v>
      </c>
      <c r="J419" s="8">
        <v>0.62708333333333333</v>
      </c>
      <c r="K419" s="10">
        <v>-8894</v>
      </c>
      <c r="L419" s="8">
        <v>0.43194444444444446</v>
      </c>
      <c r="M419" s="10">
        <v>170109</v>
      </c>
      <c r="N419" s="8">
        <v>0.22152777777777777</v>
      </c>
      <c r="O419" s="8">
        <v>55</v>
      </c>
      <c r="P419" s="8">
        <v>267106</v>
      </c>
      <c r="Q419" s="8">
        <f>YEAR(Table13[[#This Row],[release_date]])</f>
        <v>2014</v>
      </c>
      <c r="R419" s="8">
        <f>ROUND(Table13[[#This Row],[duration_ms]]/60000,2)</f>
        <v>4.45</v>
      </c>
      <c r="S419" s="8" t="str">
        <f>IF(Table13[[#This Row],[valence]]&gt;=0.6, "Happy", IF(Table13[[#This Row],[valence]]&gt;=0.4, "Neutral", "Sad"))</f>
        <v>Sad</v>
      </c>
      <c r="T419" s="8" t="str">
        <f>IF(Table13[[#This Row],[energy]]&gt;=0.7, "High Energy", IF(Table13[[#This Row],[energy]]&gt;=0.4, "Medium Energy", "Low Energy"))</f>
        <v>Low Energy</v>
      </c>
      <c r="U419" s="17" t="str">
        <f>IF(Table13[[#This Row],[popularity]]&gt;70, "Popular", IF(Table13[[#This Row],[popularity]]&lt;40, "Less Popular", "Mid"))</f>
        <v>Mid</v>
      </c>
    </row>
    <row r="420" spans="2:21" x14ac:dyDescent="0.3">
      <c r="B420" s="8" t="s">
        <v>587</v>
      </c>
      <c r="C420" s="8" t="s">
        <v>564</v>
      </c>
      <c r="D420" s="9">
        <v>41640</v>
      </c>
      <c r="E420" s="8">
        <v>16</v>
      </c>
      <c r="F420" s="8" t="s">
        <v>588</v>
      </c>
      <c r="G420" s="8">
        <v>0.43958333333333338</v>
      </c>
      <c r="H420" s="8">
        <v>0.61736111111111114</v>
      </c>
      <c r="I420" s="8" t="s">
        <v>589</v>
      </c>
      <c r="J420" s="8">
        <v>0.45694444444444443</v>
      </c>
      <c r="K420" s="8" t="s">
        <v>590</v>
      </c>
      <c r="L420" s="8">
        <v>0.49652777777777773</v>
      </c>
      <c r="M420" s="10">
        <v>121956</v>
      </c>
      <c r="N420" s="8">
        <v>0.4055555555555555</v>
      </c>
      <c r="O420" s="8">
        <v>62</v>
      </c>
      <c r="P420" s="8">
        <v>230466</v>
      </c>
      <c r="Q420" s="8">
        <f>YEAR(Table13[[#This Row],[release_date]])</f>
        <v>2014</v>
      </c>
      <c r="R420" s="8">
        <f>ROUND(Table13[[#This Row],[duration_ms]]/60000,2)</f>
        <v>3.84</v>
      </c>
      <c r="S420" s="8" t="str">
        <f>IF(Table13[[#This Row],[valence]]&gt;=0.6, "Happy", IF(Table13[[#This Row],[valence]]&gt;=0.4, "Neutral", "Sad"))</f>
        <v>Neutral</v>
      </c>
      <c r="T420" s="8" t="str">
        <f>IF(Table13[[#This Row],[energy]]&gt;=0.7, "High Energy", IF(Table13[[#This Row],[energy]]&gt;=0.4, "Medium Energy", "Low Energy"))</f>
        <v>Medium Energy</v>
      </c>
      <c r="U420" s="17" t="str">
        <f>IF(Table13[[#This Row],[popularity]]&gt;70, "Popular", IF(Table13[[#This Row],[popularity]]&lt;40, "Less Popular", "Mid"))</f>
        <v>Mid</v>
      </c>
    </row>
    <row r="421" spans="2:21" x14ac:dyDescent="0.3">
      <c r="B421" s="8" t="s">
        <v>591</v>
      </c>
      <c r="C421" s="8" t="s">
        <v>564</v>
      </c>
      <c r="D421" s="9">
        <v>41640</v>
      </c>
      <c r="E421" s="8">
        <v>17</v>
      </c>
      <c r="F421" s="8">
        <v>0.5756944444444444</v>
      </c>
      <c r="G421" s="8">
        <v>0.41111111111111115</v>
      </c>
      <c r="H421" s="8">
        <v>8.8888888888888892E-2</v>
      </c>
      <c r="I421" s="11">
        <v>0</v>
      </c>
      <c r="J421" s="8">
        <v>0.3659722222222222</v>
      </c>
      <c r="K421" s="10">
        <v>-17932</v>
      </c>
      <c r="L421" s="8">
        <v>0.40902777777777777</v>
      </c>
      <c r="M421" s="10">
        <v>78828</v>
      </c>
      <c r="N421" s="11">
        <v>1.0416666666666666E-2</v>
      </c>
      <c r="O421" s="8">
        <v>0</v>
      </c>
      <c r="P421" s="8">
        <v>216333</v>
      </c>
      <c r="Q421" s="8">
        <f>YEAR(Table13[[#This Row],[release_date]])</f>
        <v>2014</v>
      </c>
      <c r="R421" s="8">
        <f>ROUND(Table13[[#This Row],[duration_ms]]/60000,2)</f>
        <v>3.61</v>
      </c>
      <c r="S421" s="8" t="str">
        <f>IF(Table13[[#This Row],[valence]]&gt;=0.6, "Happy", IF(Table13[[#This Row],[valence]]&gt;=0.4, "Neutral", "Sad"))</f>
        <v>Sad</v>
      </c>
      <c r="T421" s="8" t="str">
        <f>IF(Table13[[#This Row],[energy]]&gt;=0.7, "High Energy", IF(Table13[[#This Row],[energy]]&gt;=0.4, "Medium Energy", "Low Energy"))</f>
        <v>Low Energy</v>
      </c>
      <c r="U421" s="17" t="str">
        <f>IF(Table13[[#This Row],[popularity]]&gt;70, "Popular", IF(Table13[[#This Row],[popularity]]&lt;40, "Less Popular", "Mid"))</f>
        <v>Less Popular</v>
      </c>
    </row>
    <row r="422" spans="2:21" x14ac:dyDescent="0.3">
      <c r="B422" s="8" t="s">
        <v>592</v>
      </c>
      <c r="C422" s="8" t="s">
        <v>564</v>
      </c>
      <c r="D422" s="9">
        <v>41640</v>
      </c>
      <c r="E422" s="8">
        <v>18</v>
      </c>
      <c r="F422" s="8">
        <v>0.49791666666666662</v>
      </c>
      <c r="G422" s="8">
        <v>0.54236111111111118</v>
      </c>
      <c r="H422" s="8">
        <v>0.24791666666666667</v>
      </c>
      <c r="I422" s="11">
        <v>0</v>
      </c>
      <c r="J422" s="8">
        <v>0.12847222222222224</v>
      </c>
      <c r="K422" s="10">
        <v>-16394</v>
      </c>
      <c r="L422" s="8">
        <v>0.6333333333333333</v>
      </c>
      <c r="M422" s="10">
        <v>118317</v>
      </c>
      <c r="N422" s="8">
        <v>0.44791666666666669</v>
      </c>
      <c r="O422" s="8">
        <v>0</v>
      </c>
      <c r="P422" s="8">
        <v>107133</v>
      </c>
      <c r="Q422" s="8">
        <f>YEAR(Table13[[#This Row],[release_date]])</f>
        <v>2014</v>
      </c>
      <c r="R422" s="8">
        <f>ROUND(Table13[[#This Row],[duration_ms]]/60000,2)</f>
        <v>1.79</v>
      </c>
      <c r="S422" s="8" t="str">
        <f>IF(Table13[[#This Row],[valence]]&gt;=0.6, "Happy", IF(Table13[[#This Row],[valence]]&gt;=0.4, "Neutral", "Sad"))</f>
        <v>Neutral</v>
      </c>
      <c r="T422" s="8" t="str">
        <f>IF(Table13[[#This Row],[energy]]&gt;=0.7, "High Energy", IF(Table13[[#This Row],[energy]]&gt;=0.4, "Medium Energy", "Low Energy"))</f>
        <v>Low Energy</v>
      </c>
      <c r="U422" s="17" t="str">
        <f>IF(Table13[[#This Row],[popularity]]&gt;70, "Popular", IF(Table13[[#This Row],[popularity]]&lt;40, "Less Popular", "Mid"))</f>
        <v>Less Popular</v>
      </c>
    </row>
    <row r="423" spans="2:21" x14ac:dyDescent="0.3">
      <c r="B423" s="8" t="s">
        <v>593</v>
      </c>
      <c r="C423" s="8" t="s">
        <v>564</v>
      </c>
      <c r="D423" s="9">
        <v>41640</v>
      </c>
      <c r="E423" s="8">
        <v>19</v>
      </c>
      <c r="F423" s="8">
        <v>0.55625000000000002</v>
      </c>
      <c r="G423" s="8">
        <v>0.46875</v>
      </c>
      <c r="H423" s="8">
        <v>0.16250000000000001</v>
      </c>
      <c r="I423" s="11">
        <v>0</v>
      </c>
      <c r="J423" s="8">
        <v>0.45624999999999999</v>
      </c>
      <c r="K423" s="10">
        <v>-15064</v>
      </c>
      <c r="L423" s="8">
        <v>0.50069444444444444</v>
      </c>
      <c r="M423" s="10">
        <v>127296</v>
      </c>
      <c r="N423" s="8">
        <v>0.40138888888888885</v>
      </c>
      <c r="O423" s="8">
        <v>0</v>
      </c>
      <c r="P423" s="8">
        <v>131186</v>
      </c>
      <c r="Q423" s="8">
        <f>YEAR(Table13[[#This Row],[release_date]])</f>
        <v>2014</v>
      </c>
      <c r="R423" s="8">
        <f>ROUND(Table13[[#This Row],[duration_ms]]/60000,2)</f>
        <v>2.19</v>
      </c>
      <c r="S423" s="8" t="str">
        <f>IF(Table13[[#This Row],[valence]]&gt;=0.6, "Happy", IF(Table13[[#This Row],[valence]]&gt;=0.4, "Neutral", "Sad"))</f>
        <v>Neutral</v>
      </c>
      <c r="T423" s="8" t="str">
        <f>IF(Table13[[#This Row],[energy]]&gt;=0.7, "High Energy", IF(Table13[[#This Row],[energy]]&gt;=0.4, "Medium Energy", "Low Energy"))</f>
        <v>Low Energy</v>
      </c>
      <c r="U423" s="17" t="str">
        <f>IF(Table13[[#This Row],[popularity]]&gt;70, "Popular", IF(Table13[[#This Row],[popularity]]&lt;40, "Less Popular", "Mid"))</f>
        <v>Less Popular</v>
      </c>
    </row>
    <row r="424" spans="2:21" x14ac:dyDescent="0.3">
      <c r="B424" s="8" t="s">
        <v>521</v>
      </c>
      <c r="C424" s="8">
        <v>1989</v>
      </c>
      <c r="D424" s="9">
        <v>41640</v>
      </c>
      <c r="E424" s="8">
        <v>1</v>
      </c>
      <c r="F424" s="8" t="s">
        <v>43</v>
      </c>
      <c r="G424" s="8">
        <v>0.55069444444444449</v>
      </c>
      <c r="H424" s="8">
        <v>0.44027777777777777</v>
      </c>
      <c r="I424" s="8" t="s">
        <v>594</v>
      </c>
      <c r="J424" s="8">
        <v>0.21111111111111111</v>
      </c>
      <c r="K424" s="10">
        <v>-4807</v>
      </c>
      <c r="L424" s="8">
        <v>0.22500000000000001</v>
      </c>
      <c r="M424" s="10">
        <v>117023</v>
      </c>
      <c r="N424" s="8">
        <v>0.42708333333333331</v>
      </c>
      <c r="O424" s="8">
        <v>59</v>
      </c>
      <c r="P424" s="8">
        <v>212600</v>
      </c>
      <c r="Q424" s="8">
        <f>YEAR(Table13[[#This Row],[release_date]])</f>
        <v>2014</v>
      </c>
      <c r="R424" s="8">
        <f>ROUND(Table13[[#This Row],[duration_ms]]/60000,2)</f>
        <v>3.54</v>
      </c>
      <c r="S424" s="8" t="str">
        <f>IF(Table13[[#This Row],[valence]]&gt;=0.6, "Happy", IF(Table13[[#This Row],[valence]]&gt;=0.4, "Neutral", "Sad"))</f>
        <v>Neutral</v>
      </c>
      <c r="T424" s="8" t="str">
        <f>IF(Table13[[#This Row],[energy]]&gt;=0.7, "High Energy", IF(Table13[[#This Row],[energy]]&gt;=0.4, "Medium Energy", "Low Energy"))</f>
        <v>Medium Energy</v>
      </c>
      <c r="U424" s="17" t="str">
        <f>IF(Table13[[#This Row],[popularity]]&gt;70, "Popular", IF(Table13[[#This Row],[popularity]]&lt;40, "Less Popular", "Mid"))</f>
        <v>Mid</v>
      </c>
    </row>
    <row r="425" spans="2:21" x14ac:dyDescent="0.3">
      <c r="B425" s="8" t="s">
        <v>566</v>
      </c>
      <c r="C425" s="8">
        <v>1989</v>
      </c>
      <c r="D425" s="9">
        <v>41640</v>
      </c>
      <c r="E425" s="8">
        <v>2</v>
      </c>
      <c r="F425" s="8" t="s">
        <v>187</v>
      </c>
      <c r="G425" s="8">
        <v>0.52222222222222225</v>
      </c>
      <c r="H425" s="8">
        <v>0.47083333333333338</v>
      </c>
      <c r="I425" s="8" t="s">
        <v>565</v>
      </c>
      <c r="J425" s="11">
        <v>9.0277777777777787E-3</v>
      </c>
      <c r="K425" s="10">
        <v>-5421</v>
      </c>
      <c r="L425" s="8">
        <v>0.44861111111111113</v>
      </c>
      <c r="M425" s="10">
        <v>96009</v>
      </c>
      <c r="N425" s="8">
        <v>0.40486111111111112</v>
      </c>
      <c r="O425" s="8">
        <v>60</v>
      </c>
      <c r="P425" s="8">
        <v>231826</v>
      </c>
      <c r="Q425" s="8">
        <f>YEAR(Table13[[#This Row],[release_date]])</f>
        <v>2014</v>
      </c>
      <c r="R425" s="8">
        <f>ROUND(Table13[[#This Row],[duration_ms]]/60000,2)</f>
        <v>3.86</v>
      </c>
      <c r="S425" s="8" t="str">
        <f>IF(Table13[[#This Row],[valence]]&gt;=0.6, "Happy", IF(Table13[[#This Row],[valence]]&gt;=0.4, "Neutral", "Sad"))</f>
        <v>Neutral</v>
      </c>
      <c r="T425" s="8" t="str">
        <f>IF(Table13[[#This Row],[energy]]&gt;=0.7, "High Energy", IF(Table13[[#This Row],[energy]]&gt;=0.4, "Medium Energy", "Low Energy"))</f>
        <v>Medium Energy</v>
      </c>
      <c r="U425" s="17" t="str">
        <f>IF(Table13[[#This Row],[popularity]]&gt;70, "Popular", IF(Table13[[#This Row],[popularity]]&lt;40, "Less Popular", "Mid"))</f>
        <v>Mid</v>
      </c>
    </row>
    <row r="426" spans="2:21" x14ac:dyDescent="0.3">
      <c r="B426" s="8" t="s">
        <v>567</v>
      </c>
      <c r="C426" s="8">
        <v>1989</v>
      </c>
      <c r="D426" s="9">
        <v>41640</v>
      </c>
      <c r="E426" s="8">
        <v>3</v>
      </c>
      <c r="F426" s="8" t="s">
        <v>595</v>
      </c>
      <c r="G426" s="8">
        <v>0.4152777777777778</v>
      </c>
      <c r="H426" s="8">
        <v>0.54583333333333328</v>
      </c>
      <c r="I426" s="8" t="s">
        <v>596</v>
      </c>
      <c r="J426" s="8">
        <v>8.1250000000000003E-2</v>
      </c>
      <c r="K426" s="10">
        <v>-5572</v>
      </c>
      <c r="L426" s="8">
        <v>0.26527777777777778</v>
      </c>
      <c r="M426" s="10">
        <v>95021</v>
      </c>
      <c r="N426" s="8">
        <v>0.31666666666666665</v>
      </c>
      <c r="O426" s="8">
        <v>56</v>
      </c>
      <c r="P426" s="8">
        <v>231000</v>
      </c>
      <c r="Q426" s="8">
        <f>YEAR(Table13[[#This Row],[release_date]])</f>
        <v>2014</v>
      </c>
      <c r="R426" s="8">
        <f>ROUND(Table13[[#This Row],[duration_ms]]/60000,2)</f>
        <v>3.85</v>
      </c>
      <c r="S426" s="8" t="str">
        <f>IF(Table13[[#This Row],[valence]]&gt;=0.6, "Happy", IF(Table13[[#This Row],[valence]]&gt;=0.4, "Neutral", "Sad"))</f>
        <v>Sad</v>
      </c>
      <c r="T426" s="8" t="str">
        <f>IF(Table13[[#This Row],[energy]]&gt;=0.7, "High Energy", IF(Table13[[#This Row],[energy]]&gt;=0.4, "Medium Energy", "Low Energy"))</f>
        <v>Medium Energy</v>
      </c>
      <c r="U426" s="17" t="str">
        <f>IF(Table13[[#This Row],[popularity]]&gt;70, "Popular", IF(Table13[[#This Row],[popularity]]&lt;40, "Less Popular", "Mid"))</f>
        <v>Mid</v>
      </c>
    </row>
    <row r="427" spans="2:21" x14ac:dyDescent="0.3">
      <c r="B427" s="8" t="s">
        <v>530</v>
      </c>
      <c r="C427" s="8">
        <v>1989</v>
      </c>
      <c r="D427" s="9">
        <v>41640</v>
      </c>
      <c r="E427" s="8">
        <v>4</v>
      </c>
      <c r="F427" s="8" t="s">
        <v>597</v>
      </c>
      <c r="G427" s="8">
        <v>0.3833333333333333</v>
      </c>
      <c r="H427" s="8">
        <v>0.58402777777777781</v>
      </c>
      <c r="I427" s="8" t="s">
        <v>598</v>
      </c>
      <c r="J427" s="8">
        <v>0.23402777777777775</v>
      </c>
      <c r="K427" s="10">
        <v>-6938</v>
      </c>
      <c r="L427" s="8">
        <v>0.25833333333333336</v>
      </c>
      <c r="M427" s="10">
        <v>91993</v>
      </c>
      <c r="N427" s="8">
        <v>0.23750000000000002</v>
      </c>
      <c r="O427" s="8">
        <v>46</v>
      </c>
      <c r="P427" s="8">
        <v>235800</v>
      </c>
      <c r="Q427" s="8">
        <f>YEAR(Table13[[#This Row],[release_date]])</f>
        <v>2014</v>
      </c>
      <c r="R427" s="8">
        <f>ROUND(Table13[[#This Row],[duration_ms]]/60000,2)</f>
        <v>3.93</v>
      </c>
      <c r="S427" s="8" t="str">
        <f>IF(Table13[[#This Row],[valence]]&gt;=0.6, "Happy", IF(Table13[[#This Row],[valence]]&gt;=0.4, "Neutral", "Sad"))</f>
        <v>Sad</v>
      </c>
      <c r="T427" s="8" t="str">
        <f>IF(Table13[[#This Row],[energy]]&gt;=0.7, "High Energy", IF(Table13[[#This Row],[energy]]&gt;=0.4, "Medium Energy", "Low Energy"))</f>
        <v>Medium Energy</v>
      </c>
      <c r="U427" s="17" t="str">
        <f>IF(Table13[[#This Row],[popularity]]&gt;70, "Popular", IF(Table13[[#This Row],[popularity]]&lt;40, "Less Popular", "Mid"))</f>
        <v>Mid</v>
      </c>
    </row>
    <row r="428" spans="2:21" x14ac:dyDescent="0.3">
      <c r="B428" s="8" t="s">
        <v>571</v>
      </c>
      <c r="C428" s="8">
        <v>1989</v>
      </c>
      <c r="D428" s="9">
        <v>41640</v>
      </c>
      <c r="E428" s="8">
        <v>5</v>
      </c>
      <c r="F428" s="8" t="s">
        <v>599</v>
      </c>
      <c r="G428" s="8">
        <v>0.41805555555555557</v>
      </c>
      <c r="H428" s="8">
        <v>0.51041666666666663</v>
      </c>
      <c r="I428" s="8" t="s">
        <v>376</v>
      </c>
      <c r="J428" s="8">
        <v>7.2916666666666671E-2</v>
      </c>
      <c r="K428" s="10">
        <v>-5778</v>
      </c>
      <c r="L428" s="8">
        <v>0.23402777777777775</v>
      </c>
      <c r="M428" s="10">
        <v>96969</v>
      </c>
      <c r="N428" s="8">
        <v>0.32777777777777778</v>
      </c>
      <c r="O428" s="8">
        <v>53</v>
      </c>
      <c r="P428" s="8">
        <v>193293</v>
      </c>
      <c r="Q428" s="8">
        <f>YEAR(Table13[[#This Row],[release_date]])</f>
        <v>2014</v>
      </c>
      <c r="R428" s="8">
        <f>ROUND(Table13[[#This Row],[duration_ms]]/60000,2)</f>
        <v>3.22</v>
      </c>
      <c r="S428" s="8" t="str">
        <f>IF(Table13[[#This Row],[valence]]&gt;=0.6, "Happy", IF(Table13[[#This Row],[valence]]&gt;=0.4, "Neutral", "Sad"))</f>
        <v>Sad</v>
      </c>
      <c r="T428" s="8" t="str">
        <f>IF(Table13[[#This Row],[energy]]&gt;=0.7, "High Energy", IF(Table13[[#This Row],[energy]]&gt;=0.4, "Medium Energy", "Low Energy"))</f>
        <v>Medium Energy</v>
      </c>
      <c r="U428" s="17" t="str">
        <f>IF(Table13[[#This Row],[popularity]]&gt;70, "Popular", IF(Table13[[#This Row],[popularity]]&lt;40, "Less Popular", "Mid"))</f>
        <v>Mid</v>
      </c>
    </row>
    <row r="429" spans="2:21" x14ac:dyDescent="0.3">
      <c r="B429" s="8" t="s">
        <v>575</v>
      </c>
      <c r="C429" s="8">
        <v>1989</v>
      </c>
      <c r="D429" s="9">
        <v>41640</v>
      </c>
      <c r="E429" s="8">
        <v>6</v>
      </c>
      <c r="F429" s="8">
        <v>0.38958333333333334</v>
      </c>
      <c r="G429" s="8">
        <v>0.45</v>
      </c>
      <c r="H429" s="8">
        <v>0.54513888888888895</v>
      </c>
      <c r="I429" s="11">
        <v>0</v>
      </c>
      <c r="J429" s="8">
        <v>0.10277777777777779</v>
      </c>
      <c r="K429" s="10">
        <v>-5414</v>
      </c>
      <c r="L429" s="8">
        <v>0.11458333333333333</v>
      </c>
      <c r="M429" s="14">
        <v>6.6680555555555552</v>
      </c>
      <c r="N429" s="8">
        <v>0.65486111111111112</v>
      </c>
      <c r="O429" s="8">
        <v>53</v>
      </c>
      <c r="P429" s="8">
        <v>219200</v>
      </c>
      <c r="Q429" s="8">
        <f>YEAR(Table13[[#This Row],[release_date]])</f>
        <v>2014</v>
      </c>
      <c r="R429" s="8">
        <f>ROUND(Table13[[#This Row],[duration_ms]]/60000,2)</f>
        <v>3.65</v>
      </c>
      <c r="S429" s="8" t="str">
        <f>IF(Table13[[#This Row],[valence]]&gt;=0.6, "Happy", IF(Table13[[#This Row],[valence]]&gt;=0.4, "Neutral", "Sad"))</f>
        <v>Happy</v>
      </c>
      <c r="T429" s="8" t="str">
        <f>IF(Table13[[#This Row],[energy]]&gt;=0.7, "High Energy", IF(Table13[[#This Row],[energy]]&gt;=0.4, "Medium Energy", "Low Energy"))</f>
        <v>Medium Energy</v>
      </c>
      <c r="U429" s="17" t="str">
        <f>IF(Table13[[#This Row],[popularity]]&gt;70, "Popular", IF(Table13[[#This Row],[popularity]]&lt;40, "Less Popular", "Mid"))</f>
        <v>Mid</v>
      </c>
    </row>
    <row r="430" spans="2:21" x14ac:dyDescent="0.3">
      <c r="B430" s="8" t="s">
        <v>576</v>
      </c>
      <c r="C430" s="8">
        <v>1989</v>
      </c>
      <c r="D430" s="9">
        <v>41640</v>
      </c>
      <c r="E430" s="8">
        <v>7</v>
      </c>
      <c r="F430" s="8" t="s">
        <v>132</v>
      </c>
      <c r="G430" s="8">
        <v>0.45069444444444445</v>
      </c>
      <c r="H430" s="8">
        <v>0.62361111111111112</v>
      </c>
      <c r="I430" s="8" t="s">
        <v>600</v>
      </c>
      <c r="J430" s="8">
        <v>7.5694444444444439E-2</v>
      </c>
      <c r="K430" s="10">
        <v>-5963</v>
      </c>
      <c r="L430" s="8">
        <v>0.35486111111111113</v>
      </c>
      <c r="M430" s="10">
        <v>118027</v>
      </c>
      <c r="N430" s="8">
        <v>0.34930555555555554</v>
      </c>
      <c r="O430" s="8">
        <v>42</v>
      </c>
      <c r="P430" s="8">
        <v>207440</v>
      </c>
      <c r="Q430" s="8">
        <f>YEAR(Table13[[#This Row],[release_date]])</f>
        <v>2014</v>
      </c>
      <c r="R430" s="8">
        <f>ROUND(Table13[[#This Row],[duration_ms]]/60000,2)</f>
        <v>3.46</v>
      </c>
      <c r="S430" s="8" t="str">
        <f>IF(Table13[[#This Row],[valence]]&gt;=0.6, "Happy", IF(Table13[[#This Row],[valence]]&gt;=0.4, "Neutral", "Sad"))</f>
        <v>Sad</v>
      </c>
      <c r="T430" s="8" t="str">
        <f>IF(Table13[[#This Row],[energy]]&gt;=0.7, "High Energy", IF(Table13[[#This Row],[energy]]&gt;=0.4, "Medium Energy", "Low Energy"))</f>
        <v>Medium Energy</v>
      </c>
      <c r="U430" s="17" t="str">
        <f>IF(Table13[[#This Row],[popularity]]&gt;70, "Popular", IF(Table13[[#This Row],[popularity]]&lt;40, "Less Popular", "Mid"))</f>
        <v>Mid</v>
      </c>
    </row>
    <row r="431" spans="2:21" x14ac:dyDescent="0.3">
      <c r="B431" s="8" t="s">
        <v>578</v>
      </c>
      <c r="C431" s="8">
        <v>1989</v>
      </c>
      <c r="D431" s="9">
        <v>41640</v>
      </c>
      <c r="E431" s="8">
        <v>8</v>
      </c>
      <c r="F431" s="8">
        <v>0.60486111111111118</v>
      </c>
      <c r="G431" s="8">
        <v>0.45277777777777778</v>
      </c>
      <c r="H431" s="8">
        <v>0.55694444444444446</v>
      </c>
      <c r="I431" s="8" t="s">
        <v>601</v>
      </c>
      <c r="J431" s="8">
        <v>0.10277777777777779</v>
      </c>
      <c r="K431" s="10">
        <v>-6114</v>
      </c>
      <c r="L431" s="8">
        <v>0.12569444444444444</v>
      </c>
      <c r="M431" s="10">
        <v>170157</v>
      </c>
      <c r="N431" s="8">
        <v>0.20486111111111113</v>
      </c>
      <c r="O431" s="8">
        <v>71</v>
      </c>
      <c r="P431" s="8">
        <v>211933</v>
      </c>
      <c r="Q431" s="8">
        <f>YEAR(Table13[[#This Row],[release_date]])</f>
        <v>2014</v>
      </c>
      <c r="R431" s="8">
        <f>ROUND(Table13[[#This Row],[duration_ms]]/60000,2)</f>
        <v>3.53</v>
      </c>
      <c r="S431" s="8" t="str">
        <f>IF(Table13[[#This Row],[valence]]&gt;=0.6, "Happy", IF(Table13[[#This Row],[valence]]&gt;=0.4, "Neutral", "Sad"))</f>
        <v>Sad</v>
      </c>
      <c r="T431" s="8" t="str">
        <f>IF(Table13[[#This Row],[energy]]&gt;=0.7, "High Energy", IF(Table13[[#This Row],[energy]]&gt;=0.4, "Medium Energy", "Low Energy"))</f>
        <v>Medium Energy</v>
      </c>
      <c r="U431" s="17" t="str">
        <f>IF(Table13[[#This Row],[popularity]]&gt;70, "Popular", IF(Table13[[#This Row],[popularity]]&lt;40, "Less Popular", "Mid"))</f>
        <v>Popular</v>
      </c>
    </row>
    <row r="432" spans="2:21" x14ac:dyDescent="0.3">
      <c r="B432" s="8" t="s">
        <v>482</v>
      </c>
      <c r="C432" s="8">
        <v>1989</v>
      </c>
      <c r="D432" s="9">
        <v>41640</v>
      </c>
      <c r="E432" s="8">
        <v>9</v>
      </c>
      <c r="F432" s="8">
        <v>0.49236111111111108</v>
      </c>
      <c r="G432" s="8">
        <v>0.3840277777777778</v>
      </c>
      <c r="H432" s="8">
        <v>0.46111111111111108</v>
      </c>
      <c r="I432" s="8" t="s">
        <v>602</v>
      </c>
      <c r="J432" s="8">
        <v>7.3611111111111113E-2</v>
      </c>
      <c r="K432" s="10">
        <v>-7417</v>
      </c>
      <c r="L432" s="8">
        <v>0.51458333333333328</v>
      </c>
      <c r="M432" s="14">
        <v>5.8374999999999995</v>
      </c>
      <c r="N432" s="8">
        <v>0.32430555555555557</v>
      </c>
      <c r="O432" s="8">
        <v>75</v>
      </c>
      <c r="P432" s="8">
        <v>220440</v>
      </c>
      <c r="Q432" s="8">
        <f>YEAR(Table13[[#This Row],[release_date]])</f>
        <v>2014</v>
      </c>
      <c r="R432" s="8">
        <f>ROUND(Table13[[#This Row],[duration_ms]]/60000,2)</f>
        <v>3.67</v>
      </c>
      <c r="S432" s="8" t="str">
        <f>IF(Table13[[#This Row],[valence]]&gt;=0.6, "Happy", IF(Table13[[#This Row],[valence]]&gt;=0.4, "Neutral", "Sad"))</f>
        <v>Sad</v>
      </c>
      <c r="T432" s="8" t="str">
        <f>IF(Table13[[#This Row],[energy]]&gt;=0.7, "High Energy", IF(Table13[[#This Row],[energy]]&gt;=0.4, "Medium Energy", "Low Energy"))</f>
        <v>Medium Energy</v>
      </c>
      <c r="U432" s="17" t="str">
        <f>IF(Table13[[#This Row],[popularity]]&gt;70, "Popular", IF(Table13[[#This Row],[popularity]]&lt;40, "Less Popular", "Mid"))</f>
        <v>Popular</v>
      </c>
    </row>
    <row r="433" spans="2:21" x14ac:dyDescent="0.3">
      <c r="B433" s="8" t="s">
        <v>502</v>
      </c>
      <c r="C433" s="8">
        <v>1989</v>
      </c>
      <c r="D433" s="9">
        <v>41640</v>
      </c>
      <c r="E433" s="8">
        <v>10</v>
      </c>
      <c r="F433" s="8" t="s">
        <v>588</v>
      </c>
      <c r="G433" s="8">
        <v>0.53055555555555556</v>
      </c>
      <c r="H433" s="8">
        <v>0.45763888888888887</v>
      </c>
      <c r="I433" s="8" t="s">
        <v>603</v>
      </c>
      <c r="J433" s="8">
        <v>0.63541666666666663</v>
      </c>
      <c r="K433" s="10">
        <v>-6136</v>
      </c>
      <c r="L433" s="8">
        <v>0.34166666666666662</v>
      </c>
      <c r="M433" s="10">
        <v>119982</v>
      </c>
      <c r="N433" s="8">
        <v>0.36458333333333331</v>
      </c>
      <c r="O433" s="8">
        <v>43</v>
      </c>
      <c r="P433" s="8">
        <v>247533</v>
      </c>
      <c r="Q433" s="8">
        <f>YEAR(Table13[[#This Row],[release_date]])</f>
        <v>2014</v>
      </c>
      <c r="R433" s="8">
        <f>ROUND(Table13[[#This Row],[duration_ms]]/60000,2)</f>
        <v>4.13</v>
      </c>
      <c r="S433" s="8" t="str">
        <f>IF(Table13[[#This Row],[valence]]&gt;=0.6, "Happy", IF(Table13[[#This Row],[valence]]&gt;=0.4, "Neutral", "Sad"))</f>
        <v>Sad</v>
      </c>
      <c r="T433" s="8" t="str">
        <f>IF(Table13[[#This Row],[energy]]&gt;=0.7, "High Energy", IF(Table13[[#This Row],[energy]]&gt;=0.4, "Medium Energy", "Low Energy"))</f>
        <v>Medium Energy</v>
      </c>
      <c r="U433" s="17" t="str">
        <f>IF(Table13[[#This Row],[popularity]]&gt;70, "Popular", IF(Table13[[#This Row],[popularity]]&lt;40, "Less Popular", "Mid"))</f>
        <v>Mid</v>
      </c>
    </row>
    <row r="434" spans="2:21" x14ac:dyDescent="0.3">
      <c r="B434" s="8" t="s">
        <v>537</v>
      </c>
      <c r="C434" s="8">
        <v>1989</v>
      </c>
      <c r="D434" s="9">
        <v>41640</v>
      </c>
      <c r="E434" s="8">
        <v>11</v>
      </c>
      <c r="F434" s="8">
        <v>0.44097222222222227</v>
      </c>
      <c r="G434" s="8">
        <v>0.33680555555555558</v>
      </c>
      <c r="H434" s="8">
        <v>0.31875000000000003</v>
      </c>
      <c r="I434" s="11">
        <v>0</v>
      </c>
      <c r="J434" s="8">
        <v>7.013888888888889E-2</v>
      </c>
      <c r="K434" s="10">
        <v>-8768</v>
      </c>
      <c r="L434" s="8">
        <v>0.23402777777777775</v>
      </c>
      <c r="M434" s="10">
        <v>71981</v>
      </c>
      <c r="N434" s="8">
        <v>0.59583333333333333</v>
      </c>
      <c r="O434" s="8">
        <v>42</v>
      </c>
      <c r="P434" s="8">
        <v>250093</v>
      </c>
      <c r="Q434" s="8">
        <f>YEAR(Table13[[#This Row],[release_date]])</f>
        <v>2014</v>
      </c>
      <c r="R434" s="8">
        <f>ROUND(Table13[[#This Row],[duration_ms]]/60000,2)</f>
        <v>4.17</v>
      </c>
      <c r="S434" s="8" t="str">
        <f>IF(Table13[[#This Row],[valence]]&gt;=0.6, "Happy", IF(Table13[[#This Row],[valence]]&gt;=0.4, "Neutral", "Sad"))</f>
        <v>Neutral</v>
      </c>
      <c r="T434" s="8" t="str">
        <f>IF(Table13[[#This Row],[energy]]&gt;=0.7, "High Energy", IF(Table13[[#This Row],[energy]]&gt;=0.4, "Medium Energy", "Low Energy"))</f>
        <v>Low Energy</v>
      </c>
      <c r="U434" s="17" t="str">
        <f>IF(Table13[[#This Row],[popularity]]&gt;70, "Popular", IF(Table13[[#This Row],[popularity]]&lt;40, "Less Popular", "Mid"))</f>
        <v>Mid</v>
      </c>
    </row>
    <row r="435" spans="2:21" x14ac:dyDescent="0.3">
      <c r="B435" s="8" t="s">
        <v>563</v>
      </c>
      <c r="C435" s="8">
        <v>1989</v>
      </c>
      <c r="D435" s="9">
        <v>41640</v>
      </c>
      <c r="E435" s="8">
        <v>12</v>
      </c>
      <c r="F435" s="8">
        <v>0.16041666666666668</v>
      </c>
      <c r="G435" s="8">
        <v>0.41319444444444442</v>
      </c>
      <c r="H435" s="8">
        <v>0.52986111111111112</v>
      </c>
      <c r="I435" s="11">
        <v>0</v>
      </c>
      <c r="J435" s="11">
        <v>1.3888888888888889E-3</v>
      </c>
      <c r="K435" s="10">
        <v>-4991</v>
      </c>
      <c r="L435" s="8">
        <v>0.45902777777777781</v>
      </c>
      <c r="M435" s="10">
        <v>159959</v>
      </c>
      <c r="N435" s="8">
        <v>0.3520833333333333</v>
      </c>
      <c r="O435" s="8">
        <v>43</v>
      </c>
      <c r="P435" s="8">
        <v>195706</v>
      </c>
      <c r="Q435" s="8">
        <f>YEAR(Table13[[#This Row],[release_date]])</f>
        <v>2014</v>
      </c>
      <c r="R435" s="8">
        <f>ROUND(Table13[[#This Row],[duration_ms]]/60000,2)</f>
        <v>3.26</v>
      </c>
      <c r="S435" s="8" t="str">
        <f>IF(Table13[[#This Row],[valence]]&gt;=0.6, "Happy", IF(Table13[[#This Row],[valence]]&gt;=0.4, "Neutral", "Sad"))</f>
        <v>Sad</v>
      </c>
      <c r="T435" s="8" t="str">
        <f>IF(Table13[[#This Row],[energy]]&gt;=0.7, "High Energy", IF(Table13[[#This Row],[energy]]&gt;=0.4, "Medium Energy", "Low Energy"))</f>
        <v>Medium Energy</v>
      </c>
      <c r="U435" s="17" t="str">
        <f>IF(Table13[[#This Row],[popularity]]&gt;70, "Popular", IF(Table13[[#This Row],[popularity]]&lt;40, "Less Popular", "Mid"))</f>
        <v>Mid</v>
      </c>
    </row>
    <row r="436" spans="2:21" x14ac:dyDescent="0.3">
      <c r="B436" s="8" t="s">
        <v>583</v>
      </c>
      <c r="C436" s="8">
        <v>1989</v>
      </c>
      <c r="D436" s="9">
        <v>41640</v>
      </c>
      <c r="E436" s="8">
        <v>13</v>
      </c>
      <c r="F436" s="8">
        <v>0.16805555555555554</v>
      </c>
      <c r="G436" s="8">
        <v>5.6250000000000001E-2</v>
      </c>
      <c r="H436" s="11">
        <v>2.6388888888888889E-2</v>
      </c>
      <c r="I436" s="11">
        <v>0</v>
      </c>
      <c r="J436" s="8">
        <v>7.8472222222222221E-2</v>
      </c>
      <c r="K436" s="10">
        <v>-7755</v>
      </c>
      <c r="L436" s="8" t="s">
        <v>112</v>
      </c>
      <c r="M436" s="10">
        <v>103981</v>
      </c>
      <c r="N436" s="8">
        <v>0.14652777777777778</v>
      </c>
      <c r="O436" s="8">
        <v>42</v>
      </c>
      <c r="P436" s="8">
        <v>271000</v>
      </c>
      <c r="Q436" s="8">
        <f>YEAR(Table13[[#This Row],[release_date]])</f>
        <v>2014</v>
      </c>
      <c r="R436" s="8">
        <f>ROUND(Table13[[#This Row],[duration_ms]]/60000,2)</f>
        <v>4.5199999999999996</v>
      </c>
      <c r="S436" s="8" t="str">
        <f>IF(Table13[[#This Row],[valence]]&gt;=0.6, "Happy", IF(Table13[[#This Row],[valence]]&gt;=0.4, "Neutral", "Sad"))</f>
        <v>Sad</v>
      </c>
      <c r="T436" s="8" t="str">
        <f>IF(Table13[[#This Row],[energy]]&gt;=0.7, "High Energy", IF(Table13[[#This Row],[energy]]&gt;=0.4, "Medium Energy", "Low Energy"))</f>
        <v>Low Energy</v>
      </c>
      <c r="U436" s="17" t="str">
        <f>IF(Table13[[#This Row],[popularity]]&gt;70, "Popular", IF(Table13[[#This Row],[popularity]]&lt;40, "Less Popular", "Mid"))</f>
        <v>Mid</v>
      </c>
    </row>
    <row r="437" spans="2:21" x14ac:dyDescent="0.3">
      <c r="B437" s="8" t="s">
        <v>513</v>
      </c>
      <c r="C437" s="8" t="s">
        <v>604</v>
      </c>
      <c r="D437" s="9">
        <v>41204</v>
      </c>
      <c r="E437" s="8">
        <v>1</v>
      </c>
      <c r="F437" s="8" t="s">
        <v>605</v>
      </c>
      <c r="G437" s="8">
        <v>0.40833333333333338</v>
      </c>
      <c r="H437" s="8">
        <v>0.57291666666666663</v>
      </c>
      <c r="I437" s="8" t="s">
        <v>483</v>
      </c>
      <c r="J437" s="8">
        <v>0.61388888888888882</v>
      </c>
      <c r="K437" s="10">
        <v>-5882</v>
      </c>
      <c r="L437" s="8">
        <v>0.22777777777777777</v>
      </c>
      <c r="M437" s="10">
        <v>129968</v>
      </c>
      <c r="N437" s="8">
        <v>0.27569444444444441</v>
      </c>
      <c r="O437" s="8">
        <v>43</v>
      </c>
      <c r="P437" s="8">
        <v>295720</v>
      </c>
      <c r="Q437" s="8">
        <f>YEAR(Table13[[#This Row],[release_date]])</f>
        <v>2012</v>
      </c>
      <c r="R437" s="8">
        <f>ROUND(Table13[[#This Row],[duration_ms]]/60000,2)</f>
        <v>4.93</v>
      </c>
      <c r="S437" s="8" t="str">
        <f>IF(Table13[[#This Row],[valence]]&gt;=0.6, "Happy", IF(Table13[[#This Row],[valence]]&gt;=0.4, "Neutral", "Sad"))</f>
        <v>Sad</v>
      </c>
      <c r="T437" s="8" t="str">
        <f>IF(Table13[[#This Row],[energy]]&gt;=0.7, "High Energy", IF(Table13[[#This Row],[energy]]&gt;=0.4, "Medium Energy", "Low Energy"))</f>
        <v>Medium Energy</v>
      </c>
      <c r="U437" s="17" t="str">
        <f>IF(Table13[[#This Row],[popularity]]&gt;70, "Popular", IF(Table13[[#This Row],[popularity]]&lt;40, "Less Popular", "Mid"))</f>
        <v>Mid</v>
      </c>
    </row>
    <row r="438" spans="2:21" x14ac:dyDescent="0.3">
      <c r="B438" s="8" t="s">
        <v>486</v>
      </c>
      <c r="C438" s="8" t="s">
        <v>604</v>
      </c>
      <c r="D438" s="9">
        <v>41204</v>
      </c>
      <c r="E438" s="8">
        <v>2</v>
      </c>
      <c r="F438" s="8">
        <v>0.53680555555555554</v>
      </c>
      <c r="G438" s="8">
        <v>0.41805555555555557</v>
      </c>
      <c r="H438" s="8">
        <v>0.62222222222222223</v>
      </c>
      <c r="I438" s="8" t="s">
        <v>606</v>
      </c>
      <c r="J438" s="8">
        <v>0.63263888888888886</v>
      </c>
      <c r="K438" s="10">
        <v>-4267</v>
      </c>
      <c r="L438" s="8">
        <v>0.3034722222222222</v>
      </c>
      <c r="M438" s="10">
        <v>124978</v>
      </c>
      <c r="N438" s="8">
        <v>0.44513888888888892</v>
      </c>
      <c r="O438" s="8">
        <v>54</v>
      </c>
      <c r="P438" s="8">
        <v>223093</v>
      </c>
      <c r="Q438" s="8">
        <f>YEAR(Table13[[#This Row],[release_date]])</f>
        <v>2012</v>
      </c>
      <c r="R438" s="8">
        <f>ROUND(Table13[[#This Row],[duration_ms]]/60000,2)</f>
        <v>3.72</v>
      </c>
      <c r="S438" s="8" t="str">
        <f>IF(Table13[[#This Row],[valence]]&gt;=0.6, "Happy", IF(Table13[[#This Row],[valence]]&gt;=0.4, "Neutral", "Sad"))</f>
        <v>Neutral</v>
      </c>
      <c r="T438" s="8" t="str">
        <f>IF(Table13[[#This Row],[energy]]&gt;=0.7, "High Energy", IF(Table13[[#This Row],[energy]]&gt;=0.4, "Medium Energy", "Low Energy"))</f>
        <v>Medium Energy</v>
      </c>
      <c r="U438" s="17" t="str">
        <f>IF(Table13[[#This Row],[popularity]]&gt;70, "Popular", IF(Table13[[#This Row],[popularity]]&lt;40, "Less Popular", "Mid"))</f>
        <v>Mid</v>
      </c>
    </row>
    <row r="439" spans="2:21" x14ac:dyDescent="0.3">
      <c r="B439" s="8" t="s">
        <v>517</v>
      </c>
      <c r="C439" s="8" t="s">
        <v>604</v>
      </c>
      <c r="D439" s="9">
        <v>41204</v>
      </c>
      <c r="E439" s="8">
        <v>3</v>
      </c>
      <c r="F439" s="8">
        <v>7.013888888888889E-2</v>
      </c>
      <c r="G439" s="8">
        <v>0.48888888888888887</v>
      </c>
      <c r="H439" s="8">
        <v>0.43124999999999997</v>
      </c>
      <c r="I439" s="8" t="s">
        <v>518</v>
      </c>
      <c r="J439" s="11">
        <v>9.7222222222222224E-3</v>
      </c>
      <c r="K439" s="10">
        <v>-8086</v>
      </c>
      <c r="L439" s="8">
        <v>0.23194444444444443</v>
      </c>
      <c r="M439" s="10">
        <v>109995</v>
      </c>
      <c r="N439" s="8">
        <v>0.27430555555555552</v>
      </c>
      <c r="O439" s="8">
        <v>41</v>
      </c>
      <c r="P439" s="8">
        <v>242760</v>
      </c>
      <c r="Q439" s="8">
        <f>YEAR(Table13[[#This Row],[release_date]])</f>
        <v>2012</v>
      </c>
      <c r="R439" s="8">
        <f>ROUND(Table13[[#This Row],[duration_ms]]/60000,2)</f>
        <v>4.05</v>
      </c>
      <c r="S439" s="8" t="str">
        <f>IF(Table13[[#This Row],[valence]]&gt;=0.6, "Happy", IF(Table13[[#This Row],[valence]]&gt;=0.4, "Neutral", "Sad"))</f>
        <v>Sad</v>
      </c>
      <c r="T439" s="8" t="str">
        <f>IF(Table13[[#This Row],[energy]]&gt;=0.7, "High Energy", IF(Table13[[#This Row],[energy]]&gt;=0.4, "Medium Energy", "Low Energy"))</f>
        <v>Medium Energy</v>
      </c>
      <c r="U439" s="17" t="str">
        <f>IF(Table13[[#This Row],[popularity]]&gt;70, "Popular", IF(Table13[[#This Row],[popularity]]&lt;40, "Less Popular", "Mid"))</f>
        <v>Mid</v>
      </c>
    </row>
    <row r="440" spans="2:21" x14ac:dyDescent="0.3">
      <c r="B440" s="8" t="s">
        <v>495</v>
      </c>
      <c r="C440" s="8" t="s">
        <v>604</v>
      </c>
      <c r="D440" s="9">
        <v>41204</v>
      </c>
      <c r="E440" s="8">
        <v>4</v>
      </c>
      <c r="F440" s="8" t="s">
        <v>559</v>
      </c>
      <c r="G440" s="8">
        <v>0.43194444444444446</v>
      </c>
      <c r="H440" s="8">
        <v>0.32569444444444445</v>
      </c>
      <c r="I440" s="8" t="s">
        <v>607</v>
      </c>
      <c r="J440" s="8">
        <v>0.23263888888888887</v>
      </c>
      <c r="K440" s="10">
        <v>-6798</v>
      </c>
      <c r="L440" s="8">
        <v>0.25208333333333333</v>
      </c>
      <c r="M440" s="10">
        <v>77019</v>
      </c>
      <c r="N440" s="8">
        <v>0.47152777777777777</v>
      </c>
      <c r="O440" s="8">
        <v>59</v>
      </c>
      <c r="P440" s="8">
        <v>219720</v>
      </c>
      <c r="Q440" s="8">
        <f>YEAR(Table13[[#This Row],[release_date]])</f>
        <v>2012</v>
      </c>
      <c r="R440" s="8">
        <f>ROUND(Table13[[#This Row],[duration_ms]]/60000,2)</f>
        <v>3.66</v>
      </c>
      <c r="S440" s="8" t="str">
        <f>IF(Table13[[#This Row],[valence]]&gt;=0.6, "Happy", IF(Table13[[#This Row],[valence]]&gt;=0.4, "Neutral", "Sad"))</f>
        <v>Neutral</v>
      </c>
      <c r="T440" s="8" t="str">
        <f>IF(Table13[[#This Row],[energy]]&gt;=0.7, "High Energy", IF(Table13[[#This Row],[energy]]&gt;=0.4, "Medium Energy", "Low Energy"))</f>
        <v>Low Energy</v>
      </c>
      <c r="U440" s="17" t="str">
        <f>IF(Table13[[#This Row],[popularity]]&gt;70, "Popular", IF(Table13[[#This Row],[popularity]]&lt;40, "Less Popular", "Mid"))</f>
        <v>Mid</v>
      </c>
    </row>
    <row r="441" spans="2:21" x14ac:dyDescent="0.3">
      <c r="B441" s="8" t="s">
        <v>479</v>
      </c>
      <c r="C441" s="8" t="s">
        <v>604</v>
      </c>
      <c r="D441" s="9">
        <v>41204</v>
      </c>
      <c r="E441" s="8">
        <v>5</v>
      </c>
      <c r="F441" s="8">
        <v>0.26527777777777778</v>
      </c>
      <c r="G441" s="8">
        <v>0.41805555555555557</v>
      </c>
      <c r="H441" s="8">
        <v>0.42291666666666666</v>
      </c>
      <c r="I441" s="8" t="s">
        <v>608</v>
      </c>
      <c r="J441" s="8">
        <v>8.8888888888888892E-2</v>
      </c>
      <c r="K441" s="10">
        <v>-7803</v>
      </c>
      <c r="L441" s="8">
        <v>0.16874999999999998</v>
      </c>
      <c r="M441" s="14">
        <v>3.8791666666666664</v>
      </c>
      <c r="N441" s="8">
        <v>0.23402777777777775</v>
      </c>
      <c r="O441" s="8">
        <v>59</v>
      </c>
      <c r="P441" s="8">
        <v>329160</v>
      </c>
      <c r="Q441" s="8">
        <f>YEAR(Table13[[#This Row],[release_date]])</f>
        <v>2012</v>
      </c>
      <c r="R441" s="8">
        <f>ROUND(Table13[[#This Row],[duration_ms]]/60000,2)</f>
        <v>5.49</v>
      </c>
      <c r="S441" s="8" t="str">
        <f>IF(Table13[[#This Row],[valence]]&gt;=0.6, "Happy", IF(Table13[[#This Row],[valence]]&gt;=0.4, "Neutral", "Sad"))</f>
        <v>Sad</v>
      </c>
      <c r="T441" s="8" t="str">
        <f>IF(Table13[[#This Row],[energy]]&gt;=0.7, "High Energy", IF(Table13[[#This Row],[energy]]&gt;=0.4, "Medium Energy", "Low Energy"))</f>
        <v>Medium Energy</v>
      </c>
      <c r="U441" s="17" t="str">
        <f>IF(Table13[[#This Row],[popularity]]&gt;70, "Popular", IF(Table13[[#This Row],[popularity]]&lt;40, "Less Popular", "Mid"))</f>
        <v>Mid</v>
      </c>
    </row>
    <row r="442" spans="2:21" x14ac:dyDescent="0.3">
      <c r="B442" s="8">
        <v>22</v>
      </c>
      <c r="C442" s="8" t="s">
        <v>604</v>
      </c>
      <c r="D442" s="9">
        <v>41204</v>
      </c>
      <c r="E442" s="8">
        <v>6</v>
      </c>
      <c r="F442" s="8" t="s">
        <v>609</v>
      </c>
      <c r="G442" s="8">
        <v>0.45902777777777781</v>
      </c>
      <c r="H442" s="8">
        <v>0.50624999999999998</v>
      </c>
      <c r="I442" s="8" t="s">
        <v>610</v>
      </c>
      <c r="J442" s="8">
        <v>0.33124999999999999</v>
      </c>
      <c r="K442" s="10">
        <v>-6561</v>
      </c>
      <c r="L442" s="8">
        <v>0.26111111111111113</v>
      </c>
      <c r="M442" s="10">
        <v>103987</v>
      </c>
      <c r="N442" s="8">
        <v>0.46388888888888885</v>
      </c>
      <c r="O442" s="8">
        <v>59</v>
      </c>
      <c r="P442" s="8">
        <v>232120</v>
      </c>
      <c r="Q442" s="8">
        <f>YEAR(Table13[[#This Row],[release_date]])</f>
        <v>2012</v>
      </c>
      <c r="R442" s="8">
        <f>ROUND(Table13[[#This Row],[duration_ms]]/60000,2)</f>
        <v>3.87</v>
      </c>
      <c r="S442" s="8" t="str">
        <f>IF(Table13[[#This Row],[valence]]&gt;=0.6, "Happy", IF(Table13[[#This Row],[valence]]&gt;=0.4, "Neutral", "Sad"))</f>
        <v>Neutral</v>
      </c>
      <c r="T442" s="8" t="str">
        <f>IF(Table13[[#This Row],[energy]]&gt;=0.7, "High Energy", IF(Table13[[#This Row],[energy]]&gt;=0.4, "Medium Energy", "Low Energy"))</f>
        <v>Medium Energy</v>
      </c>
      <c r="U442" s="17" t="str">
        <f>IF(Table13[[#This Row],[popularity]]&gt;70, "Popular", IF(Table13[[#This Row],[popularity]]&lt;40, "Less Popular", "Mid"))</f>
        <v>Mid</v>
      </c>
    </row>
    <row r="443" spans="2:21" x14ac:dyDescent="0.3">
      <c r="B443" s="8" t="s">
        <v>611</v>
      </c>
      <c r="C443" s="8" t="s">
        <v>604</v>
      </c>
      <c r="D443" s="9">
        <v>41204</v>
      </c>
      <c r="E443" s="8">
        <v>7</v>
      </c>
      <c r="F443" s="8">
        <v>0.12013888888888889</v>
      </c>
      <c r="G443" s="8">
        <v>0.39374999999999999</v>
      </c>
      <c r="H443" s="8">
        <v>0.33402777777777781</v>
      </c>
      <c r="I443" s="8" t="s">
        <v>612</v>
      </c>
      <c r="J443" s="8">
        <v>0.12638888888888888</v>
      </c>
      <c r="K443" s="10">
        <v>-7357</v>
      </c>
      <c r="L443" s="8" t="s">
        <v>506</v>
      </c>
      <c r="M443" s="10">
        <v>145865</v>
      </c>
      <c r="N443" s="8">
        <v>0.16180555555555556</v>
      </c>
      <c r="O443" s="8">
        <v>43</v>
      </c>
      <c r="P443" s="8">
        <v>244560</v>
      </c>
      <c r="Q443" s="8">
        <f>YEAR(Table13[[#This Row],[release_date]])</f>
        <v>2012</v>
      </c>
      <c r="R443" s="8">
        <f>ROUND(Table13[[#This Row],[duration_ms]]/60000,2)</f>
        <v>4.08</v>
      </c>
      <c r="S443" s="8" t="str">
        <f>IF(Table13[[#This Row],[valence]]&gt;=0.6, "Happy", IF(Table13[[#This Row],[valence]]&gt;=0.4, "Neutral", "Sad"))</f>
        <v>Sad</v>
      </c>
      <c r="T443" s="8" t="str">
        <f>IF(Table13[[#This Row],[energy]]&gt;=0.7, "High Energy", IF(Table13[[#This Row],[energy]]&gt;=0.4, "Medium Energy", "Low Energy"))</f>
        <v>Low Energy</v>
      </c>
      <c r="U443" s="17" t="str">
        <f>IF(Table13[[#This Row],[popularity]]&gt;70, "Popular", IF(Table13[[#This Row],[popularity]]&lt;40, "Less Popular", "Mid"))</f>
        <v>Mid</v>
      </c>
    </row>
    <row r="444" spans="2:21" x14ac:dyDescent="0.3">
      <c r="B444" s="8" t="s">
        <v>613</v>
      </c>
      <c r="C444" s="8" t="s">
        <v>604</v>
      </c>
      <c r="D444" s="9">
        <v>41204</v>
      </c>
      <c r="E444" s="8">
        <v>8</v>
      </c>
      <c r="F444" s="8" t="s">
        <v>614</v>
      </c>
      <c r="G444" s="8">
        <v>0.43611111111111112</v>
      </c>
      <c r="H444" s="8">
        <v>0.4694444444444445</v>
      </c>
      <c r="I444" s="8" t="s">
        <v>615</v>
      </c>
      <c r="J444" s="8">
        <v>8.4027777777777771E-2</v>
      </c>
      <c r="K444" s="10">
        <v>-5911</v>
      </c>
      <c r="L444" s="8">
        <v>0.63611111111111118</v>
      </c>
      <c r="M444" s="10">
        <v>85984</v>
      </c>
      <c r="N444" s="8">
        <v>5.2083333333333336E-2</v>
      </c>
      <c r="O444" s="8">
        <v>59</v>
      </c>
      <c r="P444" s="8">
        <v>193146</v>
      </c>
      <c r="Q444" s="8">
        <f>YEAR(Table13[[#This Row],[release_date]])</f>
        <v>2012</v>
      </c>
      <c r="R444" s="8">
        <f>ROUND(Table13[[#This Row],[duration_ms]]/60000,2)</f>
        <v>3.22</v>
      </c>
      <c r="S444" s="8" t="str">
        <f>IF(Table13[[#This Row],[valence]]&gt;=0.6, "Happy", IF(Table13[[#This Row],[valence]]&gt;=0.4, "Neutral", "Sad"))</f>
        <v>Sad</v>
      </c>
      <c r="T444" s="8" t="str">
        <f>IF(Table13[[#This Row],[energy]]&gt;=0.7, "High Energy", IF(Table13[[#This Row],[energy]]&gt;=0.4, "Medium Energy", "Low Energy"))</f>
        <v>Medium Energy</v>
      </c>
      <c r="U444" s="17" t="str">
        <f>IF(Table13[[#This Row],[popularity]]&gt;70, "Popular", IF(Table13[[#This Row],[popularity]]&lt;40, "Less Popular", "Mid"))</f>
        <v>Mid</v>
      </c>
    </row>
    <row r="445" spans="2:21" x14ac:dyDescent="0.3">
      <c r="B445" s="8" t="s">
        <v>616</v>
      </c>
      <c r="C445" s="8" t="s">
        <v>604</v>
      </c>
      <c r="D445" s="9">
        <v>41204</v>
      </c>
      <c r="E445" s="8">
        <v>9</v>
      </c>
      <c r="F445" s="8">
        <v>0.21319444444444444</v>
      </c>
      <c r="G445" s="8">
        <v>0.50624999999999998</v>
      </c>
      <c r="H445" s="8">
        <v>0.51944444444444449</v>
      </c>
      <c r="I445" s="8" t="s">
        <v>617</v>
      </c>
      <c r="J445" s="8">
        <v>0.66805555555555562</v>
      </c>
      <c r="K445" s="8" t="s">
        <v>618</v>
      </c>
      <c r="L445" s="8">
        <v>0.17013888888888887</v>
      </c>
      <c r="M445" s="10">
        <v>99981</v>
      </c>
      <c r="N445" s="8">
        <v>0.64444444444444449</v>
      </c>
      <c r="O445" s="8">
        <v>43</v>
      </c>
      <c r="P445" s="8">
        <v>205853</v>
      </c>
      <c r="Q445" s="8">
        <f>YEAR(Table13[[#This Row],[release_date]])</f>
        <v>2012</v>
      </c>
      <c r="R445" s="8">
        <f>ROUND(Table13[[#This Row],[duration_ms]]/60000,2)</f>
        <v>3.43</v>
      </c>
      <c r="S445" s="8" t="str">
        <f>IF(Table13[[#This Row],[valence]]&gt;=0.6, "Happy", IF(Table13[[#This Row],[valence]]&gt;=0.4, "Neutral", "Sad"))</f>
        <v>Happy</v>
      </c>
      <c r="T445" s="8" t="str">
        <f>IF(Table13[[#This Row],[energy]]&gt;=0.7, "High Energy", IF(Table13[[#This Row],[energy]]&gt;=0.4, "Medium Energy", "Low Energy"))</f>
        <v>Medium Energy</v>
      </c>
      <c r="U445" s="17" t="str">
        <f>IF(Table13[[#This Row],[popularity]]&gt;70, "Popular", IF(Table13[[#This Row],[popularity]]&lt;40, "Less Popular", "Mid"))</f>
        <v>Mid</v>
      </c>
    </row>
    <row r="446" spans="2:21" x14ac:dyDescent="0.3">
      <c r="B446" s="8" t="s">
        <v>619</v>
      </c>
      <c r="C446" s="8" t="s">
        <v>604</v>
      </c>
      <c r="D446" s="9">
        <v>41204</v>
      </c>
      <c r="E446" s="8">
        <v>10</v>
      </c>
      <c r="F446" s="8" t="s">
        <v>112</v>
      </c>
      <c r="G446" s="8">
        <v>0.35069444444444442</v>
      </c>
      <c r="H446" s="8">
        <v>0.30763888888888891</v>
      </c>
      <c r="I446" s="8" t="s">
        <v>620</v>
      </c>
      <c r="J446" s="8">
        <v>0.62916666666666665</v>
      </c>
      <c r="K446" s="10">
        <v>-7039</v>
      </c>
      <c r="L446" s="8">
        <v>0.19166666666666665</v>
      </c>
      <c r="M446" s="10">
        <v>94069</v>
      </c>
      <c r="N446" s="8">
        <v>8.5416666666666655E-2</v>
      </c>
      <c r="O446" s="8">
        <v>45</v>
      </c>
      <c r="P446" s="8">
        <v>299013</v>
      </c>
      <c r="Q446" s="8">
        <f>YEAR(Table13[[#This Row],[release_date]])</f>
        <v>2012</v>
      </c>
      <c r="R446" s="8">
        <f>ROUND(Table13[[#This Row],[duration_ms]]/60000,2)</f>
        <v>4.9800000000000004</v>
      </c>
      <c r="S446" s="8" t="str">
        <f>IF(Table13[[#This Row],[valence]]&gt;=0.6, "Happy", IF(Table13[[#This Row],[valence]]&gt;=0.4, "Neutral", "Sad"))</f>
        <v>Sad</v>
      </c>
      <c r="T446" s="8" t="str">
        <f>IF(Table13[[#This Row],[energy]]&gt;=0.7, "High Energy", IF(Table13[[#This Row],[energy]]&gt;=0.4, "Medium Energy", "Low Energy"))</f>
        <v>Low Energy</v>
      </c>
      <c r="U446" s="17" t="str">
        <f>IF(Table13[[#This Row],[popularity]]&gt;70, "Popular", IF(Table13[[#This Row],[popularity]]&lt;40, "Less Popular", "Mid"))</f>
        <v>Mid</v>
      </c>
    </row>
    <row r="447" spans="2:21" x14ac:dyDescent="0.3">
      <c r="B447" s="8" t="s">
        <v>488</v>
      </c>
      <c r="C447" s="8" t="s">
        <v>604</v>
      </c>
      <c r="D447" s="9">
        <v>41204</v>
      </c>
      <c r="E447" s="8">
        <v>11</v>
      </c>
      <c r="F447" s="8">
        <v>0.1125</v>
      </c>
      <c r="G447" s="8">
        <v>0.43541666666666662</v>
      </c>
      <c r="H447" s="8">
        <v>0.56666666666666665</v>
      </c>
      <c r="I447" s="8" t="s">
        <v>621</v>
      </c>
      <c r="J447" s="8">
        <v>0.67013888888888884</v>
      </c>
      <c r="K447" s="10">
        <v>-6698</v>
      </c>
      <c r="L447" s="8">
        <v>0.53749999999999998</v>
      </c>
      <c r="M447" s="10">
        <v>157043</v>
      </c>
      <c r="N447" s="8">
        <v>0.45</v>
      </c>
      <c r="O447" s="8">
        <v>41</v>
      </c>
      <c r="P447" s="8">
        <v>202960</v>
      </c>
      <c r="Q447" s="8">
        <f>YEAR(Table13[[#This Row],[release_date]])</f>
        <v>2012</v>
      </c>
      <c r="R447" s="8">
        <f>ROUND(Table13[[#This Row],[duration_ms]]/60000,2)</f>
        <v>3.38</v>
      </c>
      <c r="S447" s="8" t="str">
        <f>IF(Table13[[#This Row],[valence]]&gt;=0.6, "Happy", IF(Table13[[#This Row],[valence]]&gt;=0.4, "Neutral", "Sad"))</f>
        <v>Neutral</v>
      </c>
      <c r="T447" s="8" t="str">
        <f>IF(Table13[[#This Row],[energy]]&gt;=0.7, "High Energy", IF(Table13[[#This Row],[energy]]&gt;=0.4, "Medium Energy", "Low Energy"))</f>
        <v>Medium Energy</v>
      </c>
      <c r="U447" s="17" t="str">
        <f>IF(Table13[[#This Row],[popularity]]&gt;70, "Popular", IF(Table13[[#This Row],[popularity]]&lt;40, "Less Popular", "Mid"))</f>
        <v>Mid</v>
      </c>
    </row>
    <row r="448" spans="2:21" x14ac:dyDescent="0.3">
      <c r="B448" s="8" t="s">
        <v>622</v>
      </c>
      <c r="C448" s="8" t="s">
        <v>604</v>
      </c>
      <c r="D448" s="9">
        <v>41204</v>
      </c>
      <c r="E448" s="8">
        <v>12</v>
      </c>
      <c r="F448" s="8">
        <v>0.43888888888888888</v>
      </c>
      <c r="G448" s="8">
        <v>0.43333333333333335</v>
      </c>
      <c r="H448" s="11">
        <v>2.361111111111111E-2</v>
      </c>
      <c r="I448" s="8">
        <v>0.23402777777777775</v>
      </c>
      <c r="J448" s="8">
        <v>0.55902777777777779</v>
      </c>
      <c r="K448" s="10">
        <v>-12411</v>
      </c>
      <c r="L448" s="8" t="s">
        <v>130</v>
      </c>
      <c r="M448" s="10">
        <v>129987</v>
      </c>
      <c r="N448" s="8">
        <v>0.18124999999999999</v>
      </c>
      <c r="O448" s="8">
        <v>40</v>
      </c>
      <c r="P448" s="8">
        <v>284866</v>
      </c>
      <c r="Q448" s="8">
        <f>YEAR(Table13[[#This Row],[release_date]])</f>
        <v>2012</v>
      </c>
      <c r="R448" s="8">
        <f>ROUND(Table13[[#This Row],[duration_ms]]/60000,2)</f>
        <v>4.75</v>
      </c>
      <c r="S448" s="8" t="str">
        <f>IF(Table13[[#This Row],[valence]]&gt;=0.6, "Happy", IF(Table13[[#This Row],[valence]]&gt;=0.4, "Neutral", "Sad"))</f>
        <v>Sad</v>
      </c>
      <c r="T448" s="8" t="str">
        <f>IF(Table13[[#This Row],[energy]]&gt;=0.7, "High Energy", IF(Table13[[#This Row],[energy]]&gt;=0.4, "Medium Energy", "Low Energy"))</f>
        <v>Low Energy</v>
      </c>
      <c r="U448" s="17" t="str">
        <f>IF(Table13[[#This Row],[popularity]]&gt;70, "Popular", IF(Table13[[#This Row],[popularity]]&lt;40, "Less Popular", "Mid"))</f>
        <v>Mid</v>
      </c>
    </row>
    <row r="449" spans="2:21" x14ac:dyDescent="0.3">
      <c r="B449" s="8" t="s">
        <v>538</v>
      </c>
      <c r="C449" s="8" t="s">
        <v>604</v>
      </c>
      <c r="D449" s="9">
        <v>41204</v>
      </c>
      <c r="E449" s="8">
        <v>13</v>
      </c>
      <c r="F449" s="8">
        <v>0.25763888888888892</v>
      </c>
      <c r="G449" s="8">
        <v>0.49027777777777781</v>
      </c>
      <c r="H449" s="8">
        <v>0.34652777777777777</v>
      </c>
      <c r="I449" s="11">
        <v>0</v>
      </c>
      <c r="J449" s="8">
        <v>9.1666666666666674E-2</v>
      </c>
      <c r="K449" s="10">
        <v>-7675</v>
      </c>
      <c r="L449" s="8">
        <v>0.25625000000000003</v>
      </c>
      <c r="M449" s="10">
        <v>117937</v>
      </c>
      <c r="N449" s="8">
        <v>0.37847222222222227</v>
      </c>
      <c r="O449" s="8">
        <v>40</v>
      </c>
      <c r="P449" s="8">
        <v>240266</v>
      </c>
      <c r="Q449" s="8">
        <f>YEAR(Table13[[#This Row],[release_date]])</f>
        <v>2012</v>
      </c>
      <c r="R449" s="8">
        <f>ROUND(Table13[[#This Row],[duration_ms]]/60000,2)</f>
        <v>4</v>
      </c>
      <c r="S449" s="8" t="str">
        <f>IF(Table13[[#This Row],[valence]]&gt;=0.6, "Happy", IF(Table13[[#This Row],[valence]]&gt;=0.4, "Neutral", "Sad"))</f>
        <v>Sad</v>
      </c>
      <c r="T449" s="8" t="str">
        <f>IF(Table13[[#This Row],[energy]]&gt;=0.7, "High Energy", IF(Table13[[#This Row],[energy]]&gt;=0.4, "Medium Energy", "Low Energy"))</f>
        <v>Low Energy</v>
      </c>
      <c r="U449" s="17" t="str">
        <f>IF(Table13[[#This Row],[popularity]]&gt;70, "Popular", IF(Table13[[#This Row],[popularity]]&lt;40, "Less Popular", "Mid"))</f>
        <v>Mid</v>
      </c>
    </row>
    <row r="450" spans="2:21" x14ac:dyDescent="0.3">
      <c r="B450" s="8" t="s">
        <v>623</v>
      </c>
      <c r="C450" s="8" t="s">
        <v>604</v>
      </c>
      <c r="D450" s="9">
        <v>41204</v>
      </c>
      <c r="E450" s="8">
        <v>14</v>
      </c>
      <c r="F450" s="11">
        <v>2.4999999999999998E-2</v>
      </c>
      <c r="G450" s="8">
        <v>0.43333333333333335</v>
      </c>
      <c r="H450" s="8">
        <v>0.31805555555555559</v>
      </c>
      <c r="I450" s="8" t="s">
        <v>624</v>
      </c>
      <c r="J450" s="8">
        <v>0.21597222222222223</v>
      </c>
      <c r="K450" s="10">
        <v>-6755</v>
      </c>
      <c r="L450" s="8">
        <v>0.19930555555555554</v>
      </c>
      <c r="M450" s="10">
        <v>80016</v>
      </c>
      <c r="N450" s="8">
        <v>0.30277777777777776</v>
      </c>
      <c r="O450" s="8">
        <v>52</v>
      </c>
      <c r="P450" s="8">
        <v>245413</v>
      </c>
      <c r="Q450" s="8">
        <f>YEAR(Table13[[#This Row],[release_date]])</f>
        <v>2012</v>
      </c>
      <c r="R450" s="8">
        <f>ROUND(Table13[[#This Row],[duration_ms]]/60000,2)</f>
        <v>4.09</v>
      </c>
      <c r="S450" s="8" t="str">
        <f>IF(Table13[[#This Row],[valence]]&gt;=0.6, "Happy", IF(Table13[[#This Row],[valence]]&gt;=0.4, "Neutral", "Sad"))</f>
        <v>Sad</v>
      </c>
      <c r="T450" s="8" t="str">
        <f>IF(Table13[[#This Row],[energy]]&gt;=0.7, "High Energy", IF(Table13[[#This Row],[energy]]&gt;=0.4, "Medium Energy", "Low Energy"))</f>
        <v>Low Energy</v>
      </c>
      <c r="U450" s="17" t="str">
        <f>IF(Table13[[#This Row],[popularity]]&gt;70, "Popular", IF(Table13[[#This Row],[popularity]]&lt;40, "Less Popular", "Mid"))</f>
        <v>Mid</v>
      </c>
    </row>
    <row r="451" spans="2:21" x14ac:dyDescent="0.3">
      <c r="B451" s="8" t="s">
        <v>561</v>
      </c>
      <c r="C451" s="8" t="s">
        <v>604</v>
      </c>
      <c r="D451" s="9">
        <v>41204</v>
      </c>
      <c r="E451" s="8">
        <v>15</v>
      </c>
      <c r="F451" s="8">
        <v>0.14791666666666667</v>
      </c>
      <c r="G451" s="8">
        <v>0.45069444444444445</v>
      </c>
      <c r="H451" s="8">
        <v>0.5395833333333333</v>
      </c>
      <c r="I451" s="8" t="s">
        <v>625</v>
      </c>
      <c r="J451" s="11">
        <v>1.4583333333333332E-2</v>
      </c>
      <c r="K451" s="10">
        <v>-5804</v>
      </c>
      <c r="L451" s="8">
        <v>0.28194444444444444</v>
      </c>
      <c r="M451" s="10">
        <v>126018</v>
      </c>
      <c r="N451" s="8">
        <v>0.40763888888888888</v>
      </c>
      <c r="O451" s="8">
        <v>41</v>
      </c>
      <c r="P451" s="8">
        <v>220600</v>
      </c>
      <c r="Q451" s="8">
        <f>YEAR(Table13[[#This Row],[release_date]])</f>
        <v>2012</v>
      </c>
      <c r="R451" s="8">
        <f>ROUND(Table13[[#This Row],[duration_ms]]/60000,2)</f>
        <v>3.68</v>
      </c>
      <c r="S451" s="8" t="str">
        <f>IF(Table13[[#This Row],[valence]]&gt;=0.6, "Happy", IF(Table13[[#This Row],[valence]]&gt;=0.4, "Neutral", "Sad"))</f>
        <v>Neutral</v>
      </c>
      <c r="T451" s="8" t="str">
        <f>IF(Table13[[#This Row],[energy]]&gt;=0.7, "High Energy", IF(Table13[[#This Row],[energy]]&gt;=0.4, "Medium Energy", "Low Energy"))</f>
        <v>Medium Energy</v>
      </c>
      <c r="U451" s="17" t="str">
        <f>IF(Table13[[#This Row],[popularity]]&gt;70, "Popular", IF(Table13[[#This Row],[popularity]]&lt;40, "Less Popular", "Mid"))</f>
        <v>Mid</v>
      </c>
    </row>
    <row r="452" spans="2:21" x14ac:dyDescent="0.3">
      <c r="B452" s="8" t="s">
        <v>544</v>
      </c>
      <c r="C452" s="8" t="s">
        <v>604</v>
      </c>
      <c r="D452" s="9">
        <v>41204</v>
      </c>
      <c r="E452" s="8">
        <v>16</v>
      </c>
      <c r="F452" s="8">
        <v>0.13819444444444445</v>
      </c>
      <c r="G452" s="11">
        <v>3.6805555555555557E-2</v>
      </c>
      <c r="H452" s="8">
        <v>0.36527777777777781</v>
      </c>
      <c r="I452" s="8" t="s">
        <v>626</v>
      </c>
      <c r="J452" s="11">
        <v>9.7222222222222224E-3</v>
      </c>
      <c r="K452" s="10">
        <v>-8349</v>
      </c>
      <c r="L452" s="8">
        <v>0.18263888888888891</v>
      </c>
      <c r="M452" s="10">
        <v>79025</v>
      </c>
      <c r="N452" s="8">
        <v>0.22430555555555556</v>
      </c>
      <c r="O452" s="8">
        <v>45</v>
      </c>
      <c r="P452" s="8">
        <v>239426</v>
      </c>
      <c r="Q452" s="8">
        <f>YEAR(Table13[[#This Row],[release_date]])</f>
        <v>2012</v>
      </c>
      <c r="R452" s="8">
        <f>ROUND(Table13[[#This Row],[duration_ms]]/60000,2)</f>
        <v>3.99</v>
      </c>
      <c r="S452" s="8" t="str">
        <f>IF(Table13[[#This Row],[valence]]&gt;=0.6, "Happy", IF(Table13[[#This Row],[valence]]&gt;=0.4, "Neutral", "Sad"))</f>
        <v>Sad</v>
      </c>
      <c r="T452" s="8" t="str">
        <f>IF(Table13[[#This Row],[energy]]&gt;=0.7, "High Energy", IF(Table13[[#This Row],[energy]]&gt;=0.4, "Medium Energy", "Low Energy"))</f>
        <v>Low Energy</v>
      </c>
      <c r="U452" s="17" t="str">
        <f>IF(Table13[[#This Row],[popularity]]&gt;70, "Popular", IF(Table13[[#This Row],[popularity]]&lt;40, "Less Popular", "Mid"))</f>
        <v>Mid</v>
      </c>
    </row>
    <row r="453" spans="2:21" x14ac:dyDescent="0.3">
      <c r="B453" s="8" t="s">
        <v>627</v>
      </c>
      <c r="C453" s="8" t="s">
        <v>604</v>
      </c>
      <c r="D453" s="9">
        <v>41204</v>
      </c>
      <c r="E453" s="8">
        <v>17</v>
      </c>
      <c r="F453" s="8">
        <v>0.12986111111111112</v>
      </c>
      <c r="G453" s="8">
        <v>0.42986111111111108</v>
      </c>
      <c r="H453" s="8">
        <v>0.35138888888888892</v>
      </c>
      <c r="I453" s="8" t="s">
        <v>628</v>
      </c>
      <c r="J453" s="8">
        <v>7.013888888888889E-2</v>
      </c>
      <c r="K453" s="10">
        <v>-7327</v>
      </c>
      <c r="L453" s="8">
        <v>0.21875</v>
      </c>
      <c r="M453" s="14">
        <v>5.2520833333333332</v>
      </c>
      <c r="N453" s="8">
        <v>0.19027777777777777</v>
      </c>
      <c r="O453" s="8">
        <v>38</v>
      </c>
      <c r="P453" s="8">
        <v>286613</v>
      </c>
      <c r="Q453" s="8">
        <f>YEAR(Table13[[#This Row],[release_date]])</f>
        <v>2012</v>
      </c>
      <c r="R453" s="8">
        <f>ROUND(Table13[[#This Row],[duration_ms]]/60000,2)</f>
        <v>4.78</v>
      </c>
      <c r="S453" s="8" t="str">
        <f>IF(Table13[[#This Row],[valence]]&gt;=0.6, "Happy", IF(Table13[[#This Row],[valence]]&gt;=0.4, "Neutral", "Sad"))</f>
        <v>Sad</v>
      </c>
      <c r="T453" s="8" t="str">
        <f>IF(Table13[[#This Row],[energy]]&gt;=0.7, "High Energy", IF(Table13[[#This Row],[energy]]&gt;=0.4, "Medium Energy", "Low Energy"))</f>
        <v>Low Energy</v>
      </c>
      <c r="U453" s="17" t="str">
        <f>IF(Table13[[#This Row],[popularity]]&gt;70, "Popular", IF(Table13[[#This Row],[popularity]]&lt;40, "Less Popular", "Mid"))</f>
        <v>Less Popular</v>
      </c>
    </row>
    <row r="454" spans="2:21" x14ac:dyDescent="0.3">
      <c r="B454" s="8" t="s">
        <v>533</v>
      </c>
      <c r="C454" s="8" t="s">
        <v>604</v>
      </c>
      <c r="D454" s="9">
        <v>41204</v>
      </c>
      <c r="E454" s="8">
        <v>18</v>
      </c>
      <c r="F454" s="8" t="s">
        <v>534</v>
      </c>
      <c r="G454" s="8">
        <v>0.3354166666666667</v>
      </c>
      <c r="H454" s="8">
        <v>0.38055555555555554</v>
      </c>
      <c r="I454" s="8" t="s">
        <v>629</v>
      </c>
      <c r="J454" s="8">
        <v>0.69236111111111109</v>
      </c>
      <c r="K454" s="10">
        <v>-6291</v>
      </c>
      <c r="L454" s="8">
        <v>0.1763888888888889</v>
      </c>
      <c r="M454" s="10">
        <v>79926</v>
      </c>
      <c r="N454" s="8">
        <v>0.15069444444444444</v>
      </c>
      <c r="O454" s="8">
        <v>43</v>
      </c>
      <c r="P454" s="8">
        <v>223920</v>
      </c>
      <c r="Q454" s="8">
        <f>YEAR(Table13[[#This Row],[release_date]])</f>
        <v>2012</v>
      </c>
      <c r="R454" s="8">
        <f>ROUND(Table13[[#This Row],[duration_ms]]/60000,2)</f>
        <v>3.73</v>
      </c>
      <c r="S454" s="8" t="str">
        <f>IF(Table13[[#This Row],[valence]]&gt;=0.6, "Happy", IF(Table13[[#This Row],[valence]]&gt;=0.4, "Neutral", "Sad"))</f>
        <v>Sad</v>
      </c>
      <c r="T454" s="8" t="str">
        <f>IF(Table13[[#This Row],[energy]]&gt;=0.7, "High Energy", IF(Table13[[#This Row],[energy]]&gt;=0.4, "Medium Energy", "Low Energy"))</f>
        <v>Low Energy</v>
      </c>
      <c r="U454" s="17" t="str">
        <f>IF(Table13[[#This Row],[popularity]]&gt;70, "Popular", IF(Table13[[#This Row],[popularity]]&lt;40, "Less Popular", "Mid"))</f>
        <v>Mid</v>
      </c>
    </row>
    <row r="455" spans="2:21" x14ac:dyDescent="0.3">
      <c r="B455" s="8" t="s">
        <v>630</v>
      </c>
      <c r="C455" s="8" t="s">
        <v>604</v>
      </c>
      <c r="D455" s="9">
        <v>41204</v>
      </c>
      <c r="E455" s="8">
        <v>19</v>
      </c>
      <c r="F455" s="8">
        <v>0.18888888888888888</v>
      </c>
      <c r="G455" s="8">
        <v>0.50902777777777775</v>
      </c>
      <c r="H455" s="11">
        <v>4.0972222222222222E-2</v>
      </c>
      <c r="I455" s="11">
        <v>0</v>
      </c>
      <c r="J455" s="8">
        <v>9.3055555555555558E-2</v>
      </c>
      <c r="K455" s="8" t="s">
        <v>631</v>
      </c>
      <c r="L455" s="8">
        <v>0.19722222222222222</v>
      </c>
      <c r="M455" s="10">
        <v>125048</v>
      </c>
      <c r="N455" s="8">
        <v>0.43958333333333338</v>
      </c>
      <c r="O455" s="8">
        <v>37</v>
      </c>
      <c r="P455" s="8">
        <v>220840</v>
      </c>
      <c r="Q455" s="8">
        <f>YEAR(Table13[[#This Row],[release_date]])</f>
        <v>2012</v>
      </c>
      <c r="R455" s="8">
        <f>ROUND(Table13[[#This Row],[duration_ms]]/60000,2)</f>
        <v>3.68</v>
      </c>
      <c r="S455" s="8" t="str">
        <f>IF(Table13[[#This Row],[valence]]&gt;=0.6, "Happy", IF(Table13[[#This Row],[valence]]&gt;=0.4, "Neutral", "Sad"))</f>
        <v>Neutral</v>
      </c>
      <c r="T455" s="8" t="str">
        <f>IF(Table13[[#This Row],[energy]]&gt;=0.7, "High Energy", IF(Table13[[#This Row],[energy]]&gt;=0.4, "Medium Energy", "Low Energy"))</f>
        <v>Low Energy</v>
      </c>
      <c r="U455" s="17" t="str">
        <f>IF(Table13[[#This Row],[popularity]]&gt;70, "Popular", IF(Table13[[#This Row],[popularity]]&lt;40, "Less Popular", "Mid"))</f>
        <v>Less Popular</v>
      </c>
    </row>
    <row r="456" spans="2:21" x14ac:dyDescent="0.3">
      <c r="B456" s="8" t="s">
        <v>632</v>
      </c>
      <c r="C456" s="8" t="s">
        <v>604</v>
      </c>
      <c r="D456" s="9">
        <v>41204</v>
      </c>
      <c r="E456" s="8">
        <v>20</v>
      </c>
      <c r="F456" s="8">
        <v>0.12152777777777778</v>
      </c>
      <c r="G456" s="8">
        <v>0.57500000000000007</v>
      </c>
      <c r="H456" s="8">
        <v>4.4444444444444446E-2</v>
      </c>
      <c r="I456" s="8" t="s">
        <v>633</v>
      </c>
      <c r="J456" s="8">
        <v>0.68819444444444444</v>
      </c>
      <c r="K456" s="10">
        <v>-8248</v>
      </c>
      <c r="L456" s="8">
        <v>0.24652777777777779</v>
      </c>
      <c r="M456" s="10">
        <v>109993</v>
      </c>
      <c r="N456" s="8">
        <v>0.36041666666666666</v>
      </c>
      <c r="O456" s="8">
        <v>34</v>
      </c>
      <c r="P456" s="8">
        <v>240266</v>
      </c>
      <c r="Q456" s="8">
        <f>YEAR(Table13[[#This Row],[release_date]])</f>
        <v>2012</v>
      </c>
      <c r="R456" s="8">
        <f>ROUND(Table13[[#This Row],[duration_ms]]/60000,2)</f>
        <v>4</v>
      </c>
      <c r="S456" s="8" t="str">
        <f>IF(Table13[[#This Row],[valence]]&gt;=0.6, "Happy", IF(Table13[[#This Row],[valence]]&gt;=0.4, "Neutral", "Sad"))</f>
        <v>Sad</v>
      </c>
      <c r="T456" s="8" t="str">
        <f>IF(Table13[[#This Row],[energy]]&gt;=0.7, "High Energy", IF(Table13[[#This Row],[energy]]&gt;=0.4, "Medium Energy", "Low Energy"))</f>
        <v>Low Energy</v>
      </c>
      <c r="U456" s="17" t="str">
        <f>IF(Table13[[#This Row],[popularity]]&gt;70, "Popular", IF(Table13[[#This Row],[popularity]]&lt;40, "Less Popular", "Mid"))</f>
        <v>Less Popular</v>
      </c>
    </row>
    <row r="457" spans="2:21" x14ac:dyDescent="0.3">
      <c r="B457" s="8" t="s">
        <v>634</v>
      </c>
      <c r="C457" s="8" t="s">
        <v>604</v>
      </c>
      <c r="D457" s="9">
        <v>41204</v>
      </c>
      <c r="E457" s="8">
        <v>21</v>
      </c>
      <c r="F457" s="8">
        <v>7.8472222222222221E-2</v>
      </c>
      <c r="G457" s="8">
        <v>0.47083333333333338</v>
      </c>
      <c r="H457" s="8">
        <v>0.62638888888888888</v>
      </c>
      <c r="I457" s="8" t="s">
        <v>635</v>
      </c>
      <c r="J457" s="8">
        <v>0.48958333333333331</v>
      </c>
      <c r="K457" s="10">
        <v>-4659</v>
      </c>
      <c r="L457" s="8">
        <v>0.24861111111111112</v>
      </c>
      <c r="M457" s="10">
        <v>124998</v>
      </c>
      <c r="N457" s="8">
        <v>0.44236111111111115</v>
      </c>
      <c r="O457" s="8">
        <v>36</v>
      </c>
      <c r="P457" s="8">
        <v>227080</v>
      </c>
      <c r="Q457" s="8">
        <f>YEAR(Table13[[#This Row],[release_date]])</f>
        <v>2012</v>
      </c>
      <c r="R457" s="8">
        <f>ROUND(Table13[[#This Row],[duration_ms]]/60000,2)</f>
        <v>3.78</v>
      </c>
      <c r="S457" s="8" t="str">
        <f>IF(Table13[[#This Row],[valence]]&gt;=0.6, "Happy", IF(Table13[[#This Row],[valence]]&gt;=0.4, "Neutral", "Sad"))</f>
        <v>Neutral</v>
      </c>
      <c r="T457" s="8" t="str">
        <f>IF(Table13[[#This Row],[energy]]&gt;=0.7, "High Energy", IF(Table13[[#This Row],[energy]]&gt;=0.4, "Medium Energy", "Low Energy"))</f>
        <v>Medium Energy</v>
      </c>
      <c r="U457" s="17" t="str">
        <f>IF(Table13[[#This Row],[popularity]]&gt;70, "Popular", IF(Table13[[#This Row],[popularity]]&lt;40, "Less Popular", "Mid"))</f>
        <v>Less Popular</v>
      </c>
    </row>
    <row r="458" spans="2:21" x14ac:dyDescent="0.3">
      <c r="B458" s="8" t="s">
        <v>636</v>
      </c>
      <c r="C458" s="8" t="s">
        <v>604</v>
      </c>
      <c r="D458" s="9">
        <v>41204</v>
      </c>
      <c r="E458" s="8">
        <v>22</v>
      </c>
      <c r="F458" s="8">
        <v>0.46111111111111108</v>
      </c>
      <c r="G458" s="8">
        <v>0.43472222222222223</v>
      </c>
      <c r="H458" s="8">
        <v>8.1944444444444445E-2</v>
      </c>
      <c r="I458" s="8" t="s">
        <v>637</v>
      </c>
      <c r="J458" s="8">
        <v>8.819444444444445E-2</v>
      </c>
      <c r="K458" s="8" t="s">
        <v>638</v>
      </c>
      <c r="L458" s="8">
        <v>0.21180555555555555</v>
      </c>
      <c r="M458" s="10">
        <v>105597</v>
      </c>
      <c r="N458" s="8">
        <v>0.47361111111111115</v>
      </c>
      <c r="O458" s="8">
        <v>37</v>
      </c>
      <c r="P458" s="8">
        <v>323080</v>
      </c>
      <c r="Q458" s="8">
        <f>YEAR(Table13[[#This Row],[release_date]])</f>
        <v>2012</v>
      </c>
      <c r="R458" s="8">
        <f>ROUND(Table13[[#This Row],[duration_ms]]/60000,2)</f>
        <v>5.38</v>
      </c>
      <c r="S458" s="8" t="str">
        <f>IF(Table13[[#This Row],[valence]]&gt;=0.6, "Happy", IF(Table13[[#This Row],[valence]]&gt;=0.4, "Neutral", "Sad"))</f>
        <v>Neutral</v>
      </c>
      <c r="T458" s="8" t="str">
        <f>IF(Table13[[#This Row],[energy]]&gt;=0.7, "High Energy", IF(Table13[[#This Row],[energy]]&gt;=0.4, "Medium Energy", "Low Energy"))</f>
        <v>Low Energy</v>
      </c>
      <c r="U458" s="17" t="str">
        <f>IF(Table13[[#This Row],[popularity]]&gt;70, "Popular", IF(Table13[[#This Row],[popularity]]&lt;40, "Less Popular", "Mid"))</f>
        <v>Less Popular</v>
      </c>
    </row>
    <row r="459" spans="2:21" x14ac:dyDescent="0.3">
      <c r="B459" s="8" t="s">
        <v>513</v>
      </c>
      <c r="C459" s="8" t="s">
        <v>486</v>
      </c>
      <c r="D459" s="9">
        <v>41204</v>
      </c>
      <c r="E459" s="8">
        <v>1</v>
      </c>
      <c r="F459" s="8" t="s">
        <v>605</v>
      </c>
      <c r="G459" s="8">
        <v>0.40833333333333338</v>
      </c>
      <c r="H459" s="8">
        <v>0.57291666666666663</v>
      </c>
      <c r="I459" s="8" t="s">
        <v>483</v>
      </c>
      <c r="J459" s="8">
        <v>0.61458333333333337</v>
      </c>
      <c r="K459" s="10">
        <v>-5882</v>
      </c>
      <c r="L459" s="8">
        <v>0.22777777777777777</v>
      </c>
      <c r="M459" s="10">
        <v>129968</v>
      </c>
      <c r="N459" s="8">
        <v>0.27569444444444441</v>
      </c>
      <c r="O459" s="8">
        <v>40</v>
      </c>
      <c r="P459" s="8">
        <v>295186</v>
      </c>
      <c r="Q459" s="8">
        <f>YEAR(Table13[[#This Row],[release_date]])</f>
        <v>2012</v>
      </c>
      <c r="R459" s="8">
        <f>ROUND(Table13[[#This Row],[duration_ms]]/60000,2)</f>
        <v>4.92</v>
      </c>
      <c r="S459" s="8" t="str">
        <f>IF(Table13[[#This Row],[valence]]&gt;=0.6, "Happy", IF(Table13[[#This Row],[valence]]&gt;=0.4, "Neutral", "Sad"))</f>
        <v>Sad</v>
      </c>
      <c r="T459" s="8" t="str">
        <f>IF(Table13[[#This Row],[energy]]&gt;=0.7, "High Energy", IF(Table13[[#This Row],[energy]]&gt;=0.4, "Medium Energy", "Low Energy"))</f>
        <v>Medium Energy</v>
      </c>
      <c r="U459" s="17" t="str">
        <f>IF(Table13[[#This Row],[popularity]]&gt;70, "Popular", IF(Table13[[#This Row],[popularity]]&lt;40, "Less Popular", "Mid"))</f>
        <v>Mid</v>
      </c>
    </row>
    <row r="460" spans="2:21" x14ac:dyDescent="0.3">
      <c r="B460" s="8" t="s">
        <v>486</v>
      </c>
      <c r="C460" s="8" t="s">
        <v>486</v>
      </c>
      <c r="D460" s="9">
        <v>41204</v>
      </c>
      <c r="E460" s="8">
        <v>2</v>
      </c>
      <c r="F460" s="8">
        <v>0.53680555555555554</v>
      </c>
      <c r="G460" s="8">
        <v>0.41805555555555557</v>
      </c>
      <c r="H460" s="8">
        <v>0.62222222222222223</v>
      </c>
      <c r="I460" s="8" t="s">
        <v>606</v>
      </c>
      <c r="J460" s="8" t="s">
        <v>405</v>
      </c>
      <c r="K460" s="10">
        <v>-4267</v>
      </c>
      <c r="L460" s="8">
        <v>0.3034722222222222</v>
      </c>
      <c r="M460" s="10">
        <v>124978</v>
      </c>
      <c r="N460" s="8">
        <v>0.44513888888888892</v>
      </c>
      <c r="O460" s="8">
        <v>58</v>
      </c>
      <c r="P460" s="8">
        <v>220826</v>
      </c>
      <c r="Q460" s="8">
        <f>YEAR(Table13[[#This Row],[release_date]])</f>
        <v>2012</v>
      </c>
      <c r="R460" s="8">
        <f>ROUND(Table13[[#This Row],[duration_ms]]/60000,2)</f>
        <v>3.68</v>
      </c>
      <c r="S460" s="8" t="str">
        <f>IF(Table13[[#This Row],[valence]]&gt;=0.6, "Happy", IF(Table13[[#This Row],[valence]]&gt;=0.4, "Neutral", "Sad"))</f>
        <v>Neutral</v>
      </c>
      <c r="T460" s="8" t="str">
        <f>IF(Table13[[#This Row],[energy]]&gt;=0.7, "High Energy", IF(Table13[[#This Row],[energy]]&gt;=0.4, "Medium Energy", "Low Energy"))</f>
        <v>Medium Energy</v>
      </c>
      <c r="U460" s="17" t="str">
        <f>IF(Table13[[#This Row],[popularity]]&gt;70, "Popular", IF(Table13[[#This Row],[popularity]]&lt;40, "Less Popular", "Mid"))</f>
        <v>Mid</v>
      </c>
    </row>
    <row r="461" spans="2:21" x14ac:dyDescent="0.3">
      <c r="B461" s="8" t="s">
        <v>517</v>
      </c>
      <c r="C461" s="8" t="s">
        <v>486</v>
      </c>
      <c r="D461" s="9">
        <v>41204</v>
      </c>
      <c r="E461" s="8">
        <v>3</v>
      </c>
      <c r="F461" s="8">
        <v>7.013888888888889E-2</v>
      </c>
      <c r="G461" s="8">
        <v>0.48958333333333331</v>
      </c>
      <c r="H461" s="8">
        <v>0.43124999999999997</v>
      </c>
      <c r="I461" s="8" t="s">
        <v>518</v>
      </c>
      <c r="J461" s="8">
        <v>0.10208333333333335</v>
      </c>
      <c r="K461" s="10">
        <v>-8086</v>
      </c>
      <c r="L461" s="8">
        <v>0.23194444444444443</v>
      </c>
      <c r="M461" s="10">
        <v>109993</v>
      </c>
      <c r="N461" s="8">
        <v>0.27430555555555552</v>
      </c>
      <c r="O461" s="8">
        <v>38</v>
      </c>
      <c r="P461" s="8">
        <v>240773</v>
      </c>
      <c r="Q461" s="8">
        <f>YEAR(Table13[[#This Row],[release_date]])</f>
        <v>2012</v>
      </c>
      <c r="R461" s="8">
        <f>ROUND(Table13[[#This Row],[duration_ms]]/60000,2)</f>
        <v>4.01</v>
      </c>
      <c r="S461" s="8" t="str">
        <f>IF(Table13[[#This Row],[valence]]&gt;=0.6, "Happy", IF(Table13[[#This Row],[valence]]&gt;=0.4, "Neutral", "Sad"))</f>
        <v>Sad</v>
      </c>
      <c r="T461" s="8" t="str">
        <f>IF(Table13[[#This Row],[energy]]&gt;=0.7, "High Energy", IF(Table13[[#This Row],[energy]]&gt;=0.4, "Medium Energy", "Low Energy"))</f>
        <v>Medium Energy</v>
      </c>
      <c r="U461" s="17" t="str">
        <f>IF(Table13[[#This Row],[popularity]]&gt;70, "Popular", IF(Table13[[#This Row],[popularity]]&lt;40, "Less Popular", "Mid"))</f>
        <v>Less Popular</v>
      </c>
    </row>
    <row r="462" spans="2:21" x14ac:dyDescent="0.3">
      <c r="B462" s="8" t="s">
        <v>495</v>
      </c>
      <c r="C462" s="8" t="s">
        <v>486</v>
      </c>
      <c r="D462" s="9">
        <v>41204</v>
      </c>
      <c r="E462" s="8">
        <v>4</v>
      </c>
      <c r="F462" s="8" t="s">
        <v>559</v>
      </c>
      <c r="G462" s="8">
        <v>0.43194444444444446</v>
      </c>
      <c r="H462" s="8">
        <v>0.32569444444444445</v>
      </c>
      <c r="I462" s="8" t="s">
        <v>607</v>
      </c>
      <c r="J462" s="8">
        <v>0.27638888888888891</v>
      </c>
      <c r="K462" s="10">
        <v>-6798</v>
      </c>
      <c r="L462" s="8">
        <v>0.25208333333333333</v>
      </c>
      <c r="M462" s="10">
        <v>77019</v>
      </c>
      <c r="N462" s="8">
        <v>0.47152777777777777</v>
      </c>
      <c r="O462" s="8">
        <v>61</v>
      </c>
      <c r="P462" s="8">
        <v>217973</v>
      </c>
      <c r="Q462" s="8">
        <f>YEAR(Table13[[#This Row],[release_date]])</f>
        <v>2012</v>
      </c>
      <c r="R462" s="8">
        <f>ROUND(Table13[[#This Row],[duration_ms]]/60000,2)</f>
        <v>3.63</v>
      </c>
      <c r="S462" s="8" t="str">
        <f>IF(Table13[[#This Row],[valence]]&gt;=0.6, "Happy", IF(Table13[[#This Row],[valence]]&gt;=0.4, "Neutral", "Sad"))</f>
        <v>Neutral</v>
      </c>
      <c r="T462" s="8" t="str">
        <f>IF(Table13[[#This Row],[energy]]&gt;=0.7, "High Energy", IF(Table13[[#This Row],[energy]]&gt;=0.4, "Medium Energy", "Low Energy"))</f>
        <v>Low Energy</v>
      </c>
      <c r="U462" s="17" t="str">
        <f>IF(Table13[[#This Row],[popularity]]&gt;70, "Popular", IF(Table13[[#This Row],[popularity]]&lt;40, "Less Popular", "Mid"))</f>
        <v>Mid</v>
      </c>
    </row>
    <row r="463" spans="2:21" x14ac:dyDescent="0.3">
      <c r="B463" s="8" t="s">
        <v>479</v>
      </c>
      <c r="C463" s="8" t="s">
        <v>486</v>
      </c>
      <c r="D463" s="9">
        <v>41204</v>
      </c>
      <c r="E463" s="8">
        <v>5</v>
      </c>
      <c r="F463" s="8">
        <v>0.26527777777777778</v>
      </c>
      <c r="G463" s="8">
        <v>0.41805555555555557</v>
      </c>
      <c r="H463" s="8">
        <v>0.42291666666666666</v>
      </c>
      <c r="I463" s="8" t="s">
        <v>608</v>
      </c>
      <c r="J463" s="8">
        <v>8.819444444444445E-2</v>
      </c>
      <c r="K463" s="10">
        <v>-7803</v>
      </c>
      <c r="L463" s="8">
        <v>0.16874999999999998</v>
      </c>
      <c r="M463" s="14">
        <v>3.8791666666666664</v>
      </c>
      <c r="N463" s="8">
        <v>0.23402777777777775</v>
      </c>
      <c r="O463" s="8">
        <v>44</v>
      </c>
      <c r="P463" s="8">
        <v>327893</v>
      </c>
      <c r="Q463" s="8">
        <f>YEAR(Table13[[#This Row],[release_date]])</f>
        <v>2012</v>
      </c>
      <c r="R463" s="8">
        <f>ROUND(Table13[[#This Row],[duration_ms]]/60000,2)</f>
        <v>5.46</v>
      </c>
      <c r="S463" s="8" t="str">
        <f>IF(Table13[[#This Row],[valence]]&gt;=0.6, "Happy", IF(Table13[[#This Row],[valence]]&gt;=0.4, "Neutral", "Sad"))</f>
        <v>Sad</v>
      </c>
      <c r="T463" s="8" t="str">
        <f>IF(Table13[[#This Row],[energy]]&gt;=0.7, "High Energy", IF(Table13[[#This Row],[energy]]&gt;=0.4, "Medium Energy", "Low Energy"))</f>
        <v>Medium Energy</v>
      </c>
      <c r="U463" s="17" t="str">
        <f>IF(Table13[[#This Row],[popularity]]&gt;70, "Popular", IF(Table13[[#This Row],[popularity]]&lt;40, "Less Popular", "Mid"))</f>
        <v>Mid</v>
      </c>
    </row>
    <row r="464" spans="2:21" x14ac:dyDescent="0.3">
      <c r="B464" s="8">
        <v>22</v>
      </c>
      <c r="C464" s="8" t="s">
        <v>486</v>
      </c>
      <c r="D464" s="9">
        <v>41204</v>
      </c>
      <c r="E464" s="8">
        <v>6</v>
      </c>
      <c r="F464" s="8" t="s">
        <v>609</v>
      </c>
      <c r="G464" s="8">
        <v>0.45694444444444443</v>
      </c>
      <c r="H464" s="8">
        <v>0.50624999999999998</v>
      </c>
      <c r="I464" s="8" t="s">
        <v>610</v>
      </c>
      <c r="J464" s="8">
        <v>0.52222222222222225</v>
      </c>
      <c r="K464" s="10">
        <v>-6561</v>
      </c>
      <c r="L464" s="8">
        <v>0.26250000000000001</v>
      </c>
      <c r="M464" s="10">
        <v>104007</v>
      </c>
      <c r="N464" s="8">
        <v>0.46388888888888885</v>
      </c>
      <c r="O464" s="8">
        <v>53</v>
      </c>
      <c r="P464" s="8">
        <v>230133</v>
      </c>
      <c r="Q464" s="8">
        <f>YEAR(Table13[[#This Row],[release_date]])</f>
        <v>2012</v>
      </c>
      <c r="R464" s="8">
        <f>ROUND(Table13[[#This Row],[duration_ms]]/60000,2)</f>
        <v>3.84</v>
      </c>
      <c r="S464" s="8" t="str">
        <f>IF(Table13[[#This Row],[valence]]&gt;=0.6, "Happy", IF(Table13[[#This Row],[valence]]&gt;=0.4, "Neutral", "Sad"))</f>
        <v>Neutral</v>
      </c>
      <c r="T464" s="8" t="str">
        <f>IF(Table13[[#This Row],[energy]]&gt;=0.7, "High Energy", IF(Table13[[#This Row],[energy]]&gt;=0.4, "Medium Energy", "Low Energy"))</f>
        <v>Medium Energy</v>
      </c>
      <c r="U464" s="17" t="str">
        <f>IF(Table13[[#This Row],[popularity]]&gt;70, "Popular", IF(Table13[[#This Row],[popularity]]&lt;40, "Less Popular", "Mid"))</f>
        <v>Mid</v>
      </c>
    </row>
    <row r="465" spans="2:21" x14ac:dyDescent="0.3">
      <c r="B465" s="8" t="s">
        <v>611</v>
      </c>
      <c r="C465" s="8" t="s">
        <v>486</v>
      </c>
      <c r="D465" s="9">
        <v>41204</v>
      </c>
      <c r="E465" s="8">
        <v>7</v>
      </c>
      <c r="F465" s="8">
        <v>0.12013888888888889</v>
      </c>
      <c r="G465" s="8">
        <v>0.39374999999999999</v>
      </c>
      <c r="H465" s="8">
        <v>0.33402777777777781</v>
      </c>
      <c r="I465" s="8" t="s">
        <v>612</v>
      </c>
      <c r="J465" s="8">
        <v>0.12638888888888888</v>
      </c>
      <c r="K465" s="10">
        <v>-7357</v>
      </c>
      <c r="L465" s="8" t="s">
        <v>506</v>
      </c>
      <c r="M465" s="10">
        <v>145865</v>
      </c>
      <c r="N465" s="8">
        <v>0.16180555555555556</v>
      </c>
      <c r="O465" s="8">
        <v>39</v>
      </c>
      <c r="P465" s="8">
        <v>242573</v>
      </c>
      <c r="Q465" s="8">
        <f>YEAR(Table13[[#This Row],[release_date]])</f>
        <v>2012</v>
      </c>
      <c r="R465" s="8">
        <f>ROUND(Table13[[#This Row],[duration_ms]]/60000,2)</f>
        <v>4.04</v>
      </c>
      <c r="S465" s="8" t="str">
        <f>IF(Table13[[#This Row],[valence]]&gt;=0.6, "Happy", IF(Table13[[#This Row],[valence]]&gt;=0.4, "Neutral", "Sad"))</f>
        <v>Sad</v>
      </c>
      <c r="T465" s="8" t="str">
        <f>IF(Table13[[#This Row],[energy]]&gt;=0.7, "High Energy", IF(Table13[[#This Row],[energy]]&gt;=0.4, "Medium Energy", "Low Energy"))</f>
        <v>Low Energy</v>
      </c>
      <c r="U465" s="17" t="str">
        <f>IF(Table13[[#This Row],[popularity]]&gt;70, "Popular", IF(Table13[[#This Row],[popularity]]&lt;40, "Less Popular", "Mid"))</f>
        <v>Less Popular</v>
      </c>
    </row>
    <row r="466" spans="2:21" x14ac:dyDescent="0.3">
      <c r="B466" s="8" t="s">
        <v>613</v>
      </c>
      <c r="C466" s="8" t="s">
        <v>486</v>
      </c>
      <c r="D466" s="9">
        <v>41204</v>
      </c>
      <c r="E466" s="8">
        <v>8</v>
      </c>
      <c r="F466" s="8" t="s">
        <v>614</v>
      </c>
      <c r="G466" s="8">
        <v>0.43611111111111112</v>
      </c>
      <c r="H466" s="8">
        <v>0.4694444444444445</v>
      </c>
      <c r="I466" s="8" t="s">
        <v>615</v>
      </c>
      <c r="J466" s="8">
        <v>7.0833333333333331E-2</v>
      </c>
      <c r="K466" s="10">
        <v>-5911</v>
      </c>
      <c r="L466" s="8">
        <v>0.63611111111111118</v>
      </c>
      <c r="M466" s="10">
        <v>85984</v>
      </c>
      <c r="N466" s="8">
        <v>5.2083333333333336E-2</v>
      </c>
      <c r="O466" s="8">
        <v>59</v>
      </c>
      <c r="P466" s="8">
        <v>191880</v>
      </c>
      <c r="Q466" s="8">
        <f>YEAR(Table13[[#This Row],[release_date]])</f>
        <v>2012</v>
      </c>
      <c r="R466" s="8">
        <f>ROUND(Table13[[#This Row],[duration_ms]]/60000,2)</f>
        <v>3.2</v>
      </c>
      <c r="S466" s="8" t="str">
        <f>IF(Table13[[#This Row],[valence]]&gt;=0.6, "Happy", IF(Table13[[#This Row],[valence]]&gt;=0.4, "Neutral", "Sad"))</f>
        <v>Sad</v>
      </c>
      <c r="T466" s="8" t="str">
        <f>IF(Table13[[#This Row],[energy]]&gt;=0.7, "High Energy", IF(Table13[[#This Row],[energy]]&gt;=0.4, "Medium Energy", "Low Energy"))</f>
        <v>Medium Energy</v>
      </c>
      <c r="U466" s="17" t="str">
        <f>IF(Table13[[#This Row],[popularity]]&gt;70, "Popular", IF(Table13[[#This Row],[popularity]]&lt;40, "Less Popular", "Mid"))</f>
        <v>Mid</v>
      </c>
    </row>
    <row r="467" spans="2:21" x14ac:dyDescent="0.3">
      <c r="B467" s="8" t="s">
        <v>616</v>
      </c>
      <c r="C467" s="8" t="s">
        <v>486</v>
      </c>
      <c r="D467" s="9">
        <v>41204</v>
      </c>
      <c r="E467" s="8">
        <v>9</v>
      </c>
      <c r="F467" s="8">
        <v>0.21319444444444444</v>
      </c>
      <c r="G467" s="8">
        <v>0.50624999999999998</v>
      </c>
      <c r="H467" s="8">
        <v>0.51944444444444449</v>
      </c>
      <c r="I467" s="8" t="s">
        <v>617</v>
      </c>
      <c r="J467" s="11">
        <v>6.2499999999999995E-3</v>
      </c>
      <c r="K467" s="8" t="s">
        <v>618</v>
      </c>
      <c r="L467" s="8">
        <v>0.17013888888888887</v>
      </c>
      <c r="M467" s="10">
        <v>99981</v>
      </c>
      <c r="N467" s="8">
        <v>0.64444444444444449</v>
      </c>
      <c r="O467" s="8">
        <v>39</v>
      </c>
      <c r="P467" s="8">
        <v>204826</v>
      </c>
      <c r="Q467" s="8">
        <f>YEAR(Table13[[#This Row],[release_date]])</f>
        <v>2012</v>
      </c>
      <c r="R467" s="8">
        <f>ROUND(Table13[[#This Row],[duration_ms]]/60000,2)</f>
        <v>3.41</v>
      </c>
      <c r="S467" s="8" t="str">
        <f>IF(Table13[[#This Row],[valence]]&gt;=0.6, "Happy", IF(Table13[[#This Row],[valence]]&gt;=0.4, "Neutral", "Sad"))</f>
        <v>Happy</v>
      </c>
      <c r="T467" s="8" t="str">
        <f>IF(Table13[[#This Row],[energy]]&gt;=0.7, "High Energy", IF(Table13[[#This Row],[energy]]&gt;=0.4, "Medium Energy", "Low Energy"))</f>
        <v>Medium Energy</v>
      </c>
      <c r="U467" s="17" t="str">
        <f>IF(Table13[[#This Row],[popularity]]&gt;70, "Popular", IF(Table13[[#This Row],[popularity]]&lt;40, "Less Popular", "Mid"))</f>
        <v>Less Popular</v>
      </c>
    </row>
    <row r="468" spans="2:21" x14ac:dyDescent="0.3">
      <c r="B468" s="8" t="s">
        <v>619</v>
      </c>
      <c r="C468" s="8" t="s">
        <v>486</v>
      </c>
      <c r="D468" s="9">
        <v>41204</v>
      </c>
      <c r="E468" s="8">
        <v>10</v>
      </c>
      <c r="F468" s="8" t="s">
        <v>112</v>
      </c>
      <c r="G468" s="8">
        <v>0.35069444444444442</v>
      </c>
      <c r="H468" s="8">
        <v>0.30763888888888891</v>
      </c>
      <c r="I468" s="8" t="s">
        <v>620</v>
      </c>
      <c r="J468" s="8">
        <v>0.63958333333333328</v>
      </c>
      <c r="K468" s="10">
        <v>-7039</v>
      </c>
      <c r="L468" s="8">
        <v>0.19166666666666665</v>
      </c>
      <c r="M468" s="10">
        <v>94069</v>
      </c>
      <c r="N468" s="8">
        <v>8.5416666666666655E-2</v>
      </c>
      <c r="O468" s="8">
        <v>38</v>
      </c>
      <c r="P468" s="8">
        <v>298293</v>
      </c>
      <c r="Q468" s="8">
        <f>YEAR(Table13[[#This Row],[release_date]])</f>
        <v>2012</v>
      </c>
      <c r="R468" s="8">
        <f>ROUND(Table13[[#This Row],[duration_ms]]/60000,2)</f>
        <v>4.97</v>
      </c>
      <c r="S468" s="8" t="str">
        <f>IF(Table13[[#This Row],[valence]]&gt;=0.6, "Happy", IF(Table13[[#This Row],[valence]]&gt;=0.4, "Neutral", "Sad"))</f>
        <v>Sad</v>
      </c>
      <c r="T468" s="8" t="str">
        <f>IF(Table13[[#This Row],[energy]]&gt;=0.7, "High Energy", IF(Table13[[#This Row],[energy]]&gt;=0.4, "Medium Energy", "Low Energy"))</f>
        <v>Low Energy</v>
      </c>
      <c r="U468" s="17" t="str">
        <f>IF(Table13[[#This Row],[popularity]]&gt;70, "Popular", IF(Table13[[#This Row],[popularity]]&lt;40, "Less Popular", "Mid"))</f>
        <v>Less Popular</v>
      </c>
    </row>
    <row r="469" spans="2:21" x14ac:dyDescent="0.3">
      <c r="B469" s="8" t="s">
        <v>488</v>
      </c>
      <c r="C469" s="8" t="s">
        <v>486</v>
      </c>
      <c r="D469" s="9">
        <v>41204</v>
      </c>
      <c r="E469" s="8">
        <v>11</v>
      </c>
      <c r="F469" s="8">
        <v>0.1125</v>
      </c>
      <c r="G469" s="8">
        <v>0.43541666666666662</v>
      </c>
      <c r="H469" s="8">
        <v>0.56666666666666665</v>
      </c>
      <c r="I469" s="8" t="s">
        <v>621</v>
      </c>
      <c r="J469" s="8">
        <v>0.67083333333333339</v>
      </c>
      <c r="K469" s="10">
        <v>-6698</v>
      </c>
      <c r="L469" s="8">
        <v>0.53749999999999998</v>
      </c>
      <c r="M469" s="10">
        <v>157043</v>
      </c>
      <c r="N469" s="8">
        <v>0.45</v>
      </c>
      <c r="O469" s="8">
        <v>37</v>
      </c>
      <c r="P469" s="8">
        <v>201853</v>
      </c>
      <c r="Q469" s="8">
        <f>YEAR(Table13[[#This Row],[release_date]])</f>
        <v>2012</v>
      </c>
      <c r="R469" s="8">
        <f>ROUND(Table13[[#This Row],[duration_ms]]/60000,2)</f>
        <v>3.36</v>
      </c>
      <c r="S469" s="8" t="str">
        <f>IF(Table13[[#This Row],[valence]]&gt;=0.6, "Happy", IF(Table13[[#This Row],[valence]]&gt;=0.4, "Neutral", "Sad"))</f>
        <v>Neutral</v>
      </c>
      <c r="T469" s="8" t="str">
        <f>IF(Table13[[#This Row],[energy]]&gt;=0.7, "High Energy", IF(Table13[[#This Row],[energy]]&gt;=0.4, "Medium Energy", "Low Energy"))</f>
        <v>Medium Energy</v>
      </c>
      <c r="U469" s="17" t="str">
        <f>IF(Table13[[#This Row],[popularity]]&gt;70, "Popular", IF(Table13[[#This Row],[popularity]]&lt;40, "Less Popular", "Mid"))</f>
        <v>Less Popular</v>
      </c>
    </row>
    <row r="470" spans="2:21" x14ac:dyDescent="0.3">
      <c r="B470" s="8" t="s">
        <v>622</v>
      </c>
      <c r="C470" s="8" t="s">
        <v>486</v>
      </c>
      <c r="D470" s="9">
        <v>41204</v>
      </c>
      <c r="E470" s="8">
        <v>12</v>
      </c>
      <c r="F470" s="8">
        <v>0.43888888888888888</v>
      </c>
      <c r="G470" s="8">
        <v>0.43333333333333335</v>
      </c>
      <c r="H470" s="11">
        <v>2.361111111111111E-2</v>
      </c>
      <c r="I470" s="8">
        <v>0.23402777777777775</v>
      </c>
      <c r="J470" s="8">
        <v>8.4027777777777771E-2</v>
      </c>
      <c r="K470" s="10">
        <v>-12411</v>
      </c>
      <c r="L470" s="8" t="s">
        <v>130</v>
      </c>
      <c r="M470" s="10">
        <v>129987</v>
      </c>
      <c r="N470" s="8">
        <v>0.18124999999999999</v>
      </c>
      <c r="O470" s="8">
        <v>35</v>
      </c>
      <c r="P470" s="8">
        <v>283680</v>
      </c>
      <c r="Q470" s="8">
        <f>YEAR(Table13[[#This Row],[release_date]])</f>
        <v>2012</v>
      </c>
      <c r="R470" s="8">
        <f>ROUND(Table13[[#This Row],[duration_ms]]/60000,2)</f>
        <v>4.7300000000000004</v>
      </c>
      <c r="S470" s="8" t="str">
        <f>IF(Table13[[#This Row],[valence]]&gt;=0.6, "Happy", IF(Table13[[#This Row],[valence]]&gt;=0.4, "Neutral", "Sad"))</f>
        <v>Sad</v>
      </c>
      <c r="T470" s="8" t="str">
        <f>IF(Table13[[#This Row],[energy]]&gt;=0.7, "High Energy", IF(Table13[[#This Row],[energy]]&gt;=0.4, "Medium Energy", "Low Energy"))</f>
        <v>Low Energy</v>
      </c>
      <c r="U470" s="17" t="str">
        <f>IF(Table13[[#This Row],[popularity]]&gt;70, "Popular", IF(Table13[[#This Row],[popularity]]&lt;40, "Less Popular", "Mid"))</f>
        <v>Less Popular</v>
      </c>
    </row>
    <row r="471" spans="2:21" x14ac:dyDescent="0.3">
      <c r="B471" s="8" t="s">
        <v>538</v>
      </c>
      <c r="C471" s="8" t="s">
        <v>486</v>
      </c>
      <c r="D471" s="9">
        <v>41204</v>
      </c>
      <c r="E471" s="8">
        <v>13</v>
      </c>
      <c r="F471" s="8">
        <v>0.25763888888888892</v>
      </c>
      <c r="G471" s="8">
        <v>0.49027777777777781</v>
      </c>
      <c r="H471" s="8">
        <v>0.34652777777777777</v>
      </c>
      <c r="I471" s="11">
        <v>0</v>
      </c>
      <c r="J471" s="8">
        <v>9.1666666666666674E-2</v>
      </c>
      <c r="K471" s="10">
        <v>-7675</v>
      </c>
      <c r="L471" s="8">
        <v>0.25625000000000003</v>
      </c>
      <c r="M471" s="10">
        <v>117937</v>
      </c>
      <c r="N471" s="8">
        <v>0.37847222222222227</v>
      </c>
      <c r="O471" s="8">
        <v>36</v>
      </c>
      <c r="P471" s="8">
        <v>240133</v>
      </c>
      <c r="Q471" s="8">
        <f>YEAR(Table13[[#This Row],[release_date]])</f>
        <v>2012</v>
      </c>
      <c r="R471" s="8">
        <f>ROUND(Table13[[#This Row],[duration_ms]]/60000,2)</f>
        <v>4</v>
      </c>
      <c r="S471" s="8" t="str">
        <f>IF(Table13[[#This Row],[valence]]&gt;=0.6, "Happy", IF(Table13[[#This Row],[valence]]&gt;=0.4, "Neutral", "Sad"))</f>
        <v>Sad</v>
      </c>
      <c r="T471" s="8" t="str">
        <f>IF(Table13[[#This Row],[energy]]&gt;=0.7, "High Energy", IF(Table13[[#This Row],[energy]]&gt;=0.4, "Medium Energy", "Low Energy"))</f>
        <v>Low Energy</v>
      </c>
      <c r="U471" s="17" t="str">
        <f>IF(Table13[[#This Row],[popularity]]&gt;70, "Popular", IF(Table13[[#This Row],[popularity]]&lt;40, "Less Popular", "Mid"))</f>
        <v>Less Popular</v>
      </c>
    </row>
    <row r="472" spans="2:21" x14ac:dyDescent="0.3">
      <c r="B472" s="8" t="s">
        <v>623</v>
      </c>
      <c r="C472" s="8" t="s">
        <v>486</v>
      </c>
      <c r="D472" s="9">
        <v>41204</v>
      </c>
      <c r="E472" s="8">
        <v>14</v>
      </c>
      <c r="F472" s="11">
        <v>2.4999999999999998E-2</v>
      </c>
      <c r="G472" s="8">
        <v>0.43333333333333335</v>
      </c>
      <c r="H472" s="8">
        <v>0.31805555555555559</v>
      </c>
      <c r="I472" s="8" t="s">
        <v>624</v>
      </c>
      <c r="J472" s="8">
        <v>0.21041666666666667</v>
      </c>
      <c r="K472" s="10">
        <v>-6755</v>
      </c>
      <c r="L472" s="8">
        <v>0.19930555555555554</v>
      </c>
      <c r="M472" s="10">
        <v>80017</v>
      </c>
      <c r="N472" s="8">
        <v>0.30277777777777776</v>
      </c>
      <c r="O472" s="8">
        <v>50</v>
      </c>
      <c r="P472" s="8">
        <v>243933</v>
      </c>
      <c r="Q472" s="8">
        <f>YEAR(Table13[[#This Row],[release_date]])</f>
        <v>2012</v>
      </c>
      <c r="R472" s="8">
        <f>ROUND(Table13[[#This Row],[duration_ms]]/60000,2)</f>
        <v>4.07</v>
      </c>
      <c r="S472" s="8" t="str">
        <f>IF(Table13[[#This Row],[valence]]&gt;=0.6, "Happy", IF(Table13[[#This Row],[valence]]&gt;=0.4, "Neutral", "Sad"))</f>
        <v>Sad</v>
      </c>
      <c r="T472" s="8" t="str">
        <f>IF(Table13[[#This Row],[energy]]&gt;=0.7, "High Energy", IF(Table13[[#This Row],[energy]]&gt;=0.4, "Medium Energy", "Low Energy"))</f>
        <v>Low Energy</v>
      </c>
      <c r="U472" s="17" t="str">
        <f>IF(Table13[[#This Row],[popularity]]&gt;70, "Popular", IF(Table13[[#This Row],[popularity]]&lt;40, "Less Popular", "Mid"))</f>
        <v>Mid</v>
      </c>
    </row>
    <row r="473" spans="2:21" x14ac:dyDescent="0.3">
      <c r="B473" s="8" t="s">
        <v>561</v>
      </c>
      <c r="C473" s="8" t="s">
        <v>486</v>
      </c>
      <c r="D473" s="9">
        <v>41204</v>
      </c>
      <c r="E473" s="8">
        <v>15</v>
      </c>
      <c r="F473" s="8">
        <v>0.14791666666666667</v>
      </c>
      <c r="G473" s="8">
        <v>0.45069444444444445</v>
      </c>
      <c r="H473" s="8">
        <v>0.5395833333333333</v>
      </c>
      <c r="I473" s="8" t="s">
        <v>625</v>
      </c>
      <c r="J473" s="8">
        <v>0.1534722222222222</v>
      </c>
      <c r="K473" s="10">
        <v>-5804</v>
      </c>
      <c r="L473" s="8">
        <v>0.28194444444444444</v>
      </c>
      <c r="M473" s="10">
        <v>126018</v>
      </c>
      <c r="N473" s="8">
        <v>0.40763888888888888</v>
      </c>
      <c r="O473" s="8">
        <v>37</v>
      </c>
      <c r="P473" s="8">
        <v>217826</v>
      </c>
      <c r="Q473" s="8">
        <f>YEAR(Table13[[#This Row],[release_date]])</f>
        <v>2012</v>
      </c>
      <c r="R473" s="8">
        <f>ROUND(Table13[[#This Row],[duration_ms]]/60000,2)</f>
        <v>3.63</v>
      </c>
      <c r="S473" s="8" t="str">
        <f>IF(Table13[[#This Row],[valence]]&gt;=0.6, "Happy", IF(Table13[[#This Row],[valence]]&gt;=0.4, "Neutral", "Sad"))</f>
        <v>Neutral</v>
      </c>
      <c r="T473" s="8" t="str">
        <f>IF(Table13[[#This Row],[energy]]&gt;=0.7, "High Energy", IF(Table13[[#This Row],[energy]]&gt;=0.4, "Medium Energy", "Low Energy"))</f>
        <v>Medium Energy</v>
      </c>
      <c r="U473" s="17" t="str">
        <f>IF(Table13[[#This Row],[popularity]]&gt;70, "Popular", IF(Table13[[#This Row],[popularity]]&lt;40, "Less Popular", "Mid"))</f>
        <v>Less Popular</v>
      </c>
    </row>
    <row r="474" spans="2:21" x14ac:dyDescent="0.3">
      <c r="B474" s="8" t="s">
        <v>544</v>
      </c>
      <c r="C474" s="8" t="s">
        <v>486</v>
      </c>
      <c r="D474" s="9">
        <v>41204</v>
      </c>
      <c r="E474" s="8">
        <v>16</v>
      </c>
      <c r="F474" s="8">
        <v>0.13819444444444445</v>
      </c>
      <c r="G474" s="11">
        <v>3.6805555555555557E-2</v>
      </c>
      <c r="H474" s="8">
        <v>0.36527777777777781</v>
      </c>
      <c r="I474" s="8" t="s">
        <v>626</v>
      </c>
      <c r="J474" s="8">
        <v>0.16111111111111112</v>
      </c>
      <c r="K474" s="10">
        <v>-8349</v>
      </c>
      <c r="L474" s="8">
        <v>0.18263888888888891</v>
      </c>
      <c r="M474" s="10">
        <v>79025</v>
      </c>
      <c r="N474" s="8">
        <v>0.22430555555555556</v>
      </c>
      <c r="O474" s="8">
        <v>56</v>
      </c>
      <c r="P474" s="8">
        <v>237613</v>
      </c>
      <c r="Q474" s="8">
        <f>YEAR(Table13[[#This Row],[release_date]])</f>
        <v>2012</v>
      </c>
      <c r="R474" s="8">
        <f>ROUND(Table13[[#This Row],[duration_ms]]/60000,2)</f>
        <v>3.96</v>
      </c>
      <c r="S474" s="8" t="str">
        <f>IF(Table13[[#This Row],[valence]]&gt;=0.6, "Happy", IF(Table13[[#This Row],[valence]]&gt;=0.4, "Neutral", "Sad"))</f>
        <v>Sad</v>
      </c>
      <c r="T474" s="8" t="str">
        <f>IF(Table13[[#This Row],[energy]]&gt;=0.7, "High Energy", IF(Table13[[#This Row],[energy]]&gt;=0.4, "Medium Energy", "Low Energy"))</f>
        <v>Low Energy</v>
      </c>
      <c r="U474" s="17" t="str">
        <f>IF(Table13[[#This Row],[popularity]]&gt;70, "Popular", IF(Table13[[#This Row],[popularity]]&lt;40, "Less Popular", "Mid"))</f>
        <v>Mid</v>
      </c>
    </row>
    <row r="475" spans="2:21" x14ac:dyDescent="0.3">
      <c r="B475" s="8" t="s">
        <v>639</v>
      </c>
      <c r="C475" s="8" t="s">
        <v>640</v>
      </c>
      <c r="D475" s="9">
        <v>40476</v>
      </c>
      <c r="E475" s="8">
        <v>1</v>
      </c>
      <c r="F475" s="8" t="s">
        <v>641</v>
      </c>
      <c r="G475" s="8">
        <v>0.31597222222222221</v>
      </c>
      <c r="H475" s="8">
        <v>0.54375000000000007</v>
      </c>
      <c r="I475" s="11">
        <v>0</v>
      </c>
      <c r="J475" s="8">
        <v>0.63750000000000007</v>
      </c>
      <c r="K475" s="10">
        <v>-5184</v>
      </c>
      <c r="L475" s="8">
        <v>0.27291666666666664</v>
      </c>
      <c r="M475" s="10">
        <v>114981</v>
      </c>
      <c r="N475" s="8">
        <v>0.20694444444444446</v>
      </c>
      <c r="O475" s="8">
        <v>42</v>
      </c>
      <c r="P475" s="8">
        <v>336826</v>
      </c>
      <c r="Q475" s="8">
        <f>YEAR(Table13[[#This Row],[release_date]])</f>
        <v>2010</v>
      </c>
      <c r="R475" s="8">
        <f>ROUND(Table13[[#This Row],[duration_ms]]/60000,2)</f>
        <v>5.61</v>
      </c>
      <c r="S475" s="8" t="str">
        <f>IF(Table13[[#This Row],[valence]]&gt;=0.6, "Happy", IF(Table13[[#This Row],[valence]]&gt;=0.4, "Neutral", "Sad"))</f>
        <v>Sad</v>
      </c>
      <c r="T475" s="8" t="str">
        <f>IF(Table13[[#This Row],[energy]]&gt;=0.7, "High Energy", IF(Table13[[#This Row],[energy]]&gt;=0.4, "Medium Energy", "Low Energy"))</f>
        <v>Medium Energy</v>
      </c>
      <c r="U475" s="17" t="str">
        <f>IF(Table13[[#This Row],[popularity]]&gt;70, "Popular", IF(Table13[[#This Row],[popularity]]&lt;40, "Less Popular", "Mid"))</f>
        <v>Mid</v>
      </c>
    </row>
    <row r="476" spans="2:21" x14ac:dyDescent="0.3">
      <c r="B476" s="8" t="s">
        <v>642</v>
      </c>
      <c r="C476" s="8" t="s">
        <v>640</v>
      </c>
      <c r="D476" s="9">
        <v>40476</v>
      </c>
      <c r="E476" s="8">
        <v>2</v>
      </c>
      <c r="F476" s="8" t="s">
        <v>643</v>
      </c>
      <c r="G476" s="8">
        <v>0.3444444444444445</v>
      </c>
      <c r="H476" s="8">
        <v>0.59166666666666667</v>
      </c>
      <c r="I476" s="11">
        <v>0</v>
      </c>
      <c r="J476" s="8">
        <v>0.38472222222222219</v>
      </c>
      <c r="K476" s="10">
        <v>-4775</v>
      </c>
      <c r="L476" s="8">
        <v>0.2590277777777778</v>
      </c>
      <c r="M476" s="10">
        <v>120969</v>
      </c>
      <c r="N476" s="8">
        <v>0.30694444444444441</v>
      </c>
      <c r="O476" s="8">
        <v>40</v>
      </c>
      <c r="P476" s="8">
        <v>259279</v>
      </c>
      <c r="Q476" s="8">
        <f>YEAR(Table13[[#This Row],[release_date]])</f>
        <v>2010</v>
      </c>
      <c r="R476" s="8">
        <f>ROUND(Table13[[#This Row],[duration_ms]]/60000,2)</f>
        <v>4.32</v>
      </c>
      <c r="S476" s="8" t="str">
        <f>IF(Table13[[#This Row],[valence]]&gt;=0.6, "Happy", IF(Table13[[#This Row],[valence]]&gt;=0.4, "Neutral", "Sad"))</f>
        <v>Sad</v>
      </c>
      <c r="T476" s="8" t="str">
        <f>IF(Table13[[#This Row],[energy]]&gt;=0.7, "High Energy", IF(Table13[[#This Row],[energy]]&gt;=0.4, "Medium Energy", "Low Energy"))</f>
        <v>Medium Energy</v>
      </c>
      <c r="U476" s="17" t="str">
        <f>IF(Table13[[#This Row],[popularity]]&gt;70, "Popular", IF(Table13[[#This Row],[popularity]]&lt;40, "Less Popular", "Mid"))</f>
        <v>Mid</v>
      </c>
    </row>
    <row r="477" spans="2:21" x14ac:dyDescent="0.3">
      <c r="B477" s="8" t="s">
        <v>644</v>
      </c>
      <c r="C477" s="8" t="s">
        <v>640</v>
      </c>
      <c r="D477" s="9">
        <v>40476</v>
      </c>
      <c r="E477" s="8">
        <v>3</v>
      </c>
      <c r="F477" s="8" t="s">
        <v>645</v>
      </c>
      <c r="G477" s="8">
        <v>0.29097222222222224</v>
      </c>
      <c r="H477" s="8">
        <v>0.63055555555555554</v>
      </c>
      <c r="I477" s="11">
        <v>0</v>
      </c>
      <c r="J477" s="8">
        <v>0.56597222222222221</v>
      </c>
      <c r="K477" s="10">
        <v>-5156</v>
      </c>
      <c r="L477" s="8">
        <v>0.45208333333333334</v>
      </c>
      <c r="M477" s="10">
        <v>139813</v>
      </c>
      <c r="N477" s="8">
        <v>0.32777777777777778</v>
      </c>
      <c r="O477" s="8">
        <v>40</v>
      </c>
      <c r="P477" s="8">
        <v>290520</v>
      </c>
      <c r="Q477" s="8">
        <f>YEAR(Table13[[#This Row],[release_date]])</f>
        <v>2010</v>
      </c>
      <c r="R477" s="8">
        <f>ROUND(Table13[[#This Row],[duration_ms]]/60000,2)</f>
        <v>4.84</v>
      </c>
      <c r="S477" s="8" t="str">
        <f>IF(Table13[[#This Row],[valence]]&gt;=0.6, "Happy", IF(Table13[[#This Row],[valence]]&gt;=0.4, "Neutral", "Sad"))</f>
        <v>Sad</v>
      </c>
      <c r="T477" s="8" t="str">
        <f>IF(Table13[[#This Row],[energy]]&gt;=0.7, "High Energy", IF(Table13[[#This Row],[energy]]&gt;=0.4, "Medium Energy", "Low Energy"))</f>
        <v>Medium Energy</v>
      </c>
      <c r="U477" s="17" t="str">
        <f>IF(Table13[[#This Row],[popularity]]&gt;70, "Popular", IF(Table13[[#This Row],[popularity]]&lt;40, "Less Popular", "Mid"))</f>
        <v>Mid</v>
      </c>
    </row>
    <row r="478" spans="2:21" x14ac:dyDescent="0.3">
      <c r="B478" s="8" t="s">
        <v>646</v>
      </c>
      <c r="C478" s="8" t="s">
        <v>640</v>
      </c>
      <c r="D478" s="9">
        <v>40476</v>
      </c>
      <c r="E478" s="8">
        <v>4</v>
      </c>
      <c r="F478" s="8">
        <v>0.10694444444444445</v>
      </c>
      <c r="G478" s="8">
        <v>0.29791666666666666</v>
      </c>
      <c r="H478" s="8">
        <v>0.63541666666666663</v>
      </c>
      <c r="I478" s="11">
        <v>0</v>
      </c>
      <c r="J478" s="8">
        <v>0.48125000000000001</v>
      </c>
      <c r="K478" s="10">
        <v>-4373</v>
      </c>
      <c r="L478" s="8" t="s">
        <v>78</v>
      </c>
      <c r="M478" s="10">
        <v>163752</v>
      </c>
      <c r="N478" s="8">
        <v>0.3</v>
      </c>
      <c r="O478" s="8">
        <v>40</v>
      </c>
      <c r="P478" s="8">
        <v>246373</v>
      </c>
      <c r="Q478" s="8">
        <f>YEAR(Table13[[#This Row],[release_date]])</f>
        <v>2010</v>
      </c>
      <c r="R478" s="8">
        <f>ROUND(Table13[[#This Row],[duration_ms]]/60000,2)</f>
        <v>4.1100000000000003</v>
      </c>
      <c r="S478" s="8" t="str">
        <f>IF(Table13[[#This Row],[valence]]&gt;=0.6, "Happy", IF(Table13[[#This Row],[valence]]&gt;=0.4, "Neutral", "Sad"))</f>
        <v>Sad</v>
      </c>
      <c r="T478" s="8" t="str">
        <f>IF(Table13[[#This Row],[energy]]&gt;=0.7, "High Energy", IF(Table13[[#This Row],[energy]]&gt;=0.4, "Medium Energy", "Low Energy"))</f>
        <v>Medium Energy</v>
      </c>
      <c r="U478" s="17" t="str">
        <f>IF(Table13[[#This Row],[popularity]]&gt;70, "Popular", IF(Table13[[#This Row],[popularity]]&lt;40, "Less Popular", "Mid"))</f>
        <v>Mid</v>
      </c>
    </row>
    <row r="479" spans="2:21" x14ac:dyDescent="0.3">
      <c r="B479" s="8" t="s">
        <v>647</v>
      </c>
      <c r="C479" s="8" t="s">
        <v>640</v>
      </c>
      <c r="D479" s="9">
        <v>40476</v>
      </c>
      <c r="E479" s="8">
        <v>5</v>
      </c>
      <c r="F479" s="8">
        <v>0.49652777777777773</v>
      </c>
      <c r="G479" s="8">
        <v>0.29236111111111113</v>
      </c>
      <c r="H479" s="8">
        <v>0.24652777777777779</v>
      </c>
      <c r="I479" s="11">
        <v>0</v>
      </c>
      <c r="J479" s="8">
        <v>0.6020833333333333</v>
      </c>
      <c r="K479" s="8" t="s">
        <v>648</v>
      </c>
      <c r="L479" s="8">
        <v>0.20694444444444446</v>
      </c>
      <c r="M479" s="10">
        <v>77769</v>
      </c>
      <c r="N479" s="8">
        <v>0.18541666666666667</v>
      </c>
      <c r="O479" s="8">
        <v>39</v>
      </c>
      <c r="P479" s="8">
        <v>245973</v>
      </c>
      <c r="Q479" s="8">
        <f>YEAR(Table13[[#This Row],[release_date]])</f>
        <v>2010</v>
      </c>
      <c r="R479" s="8">
        <f>ROUND(Table13[[#This Row],[duration_ms]]/60000,2)</f>
        <v>4.0999999999999996</v>
      </c>
      <c r="S479" s="8" t="str">
        <f>IF(Table13[[#This Row],[valence]]&gt;=0.6, "Happy", IF(Table13[[#This Row],[valence]]&gt;=0.4, "Neutral", "Sad"))</f>
        <v>Sad</v>
      </c>
      <c r="T479" s="8" t="str">
        <f>IF(Table13[[#This Row],[energy]]&gt;=0.7, "High Energy", IF(Table13[[#This Row],[energy]]&gt;=0.4, "Medium Energy", "Low Energy"))</f>
        <v>Low Energy</v>
      </c>
      <c r="U479" s="17" t="str">
        <f>IF(Table13[[#This Row],[popularity]]&gt;70, "Popular", IF(Table13[[#This Row],[popularity]]&lt;40, "Less Popular", "Mid"))</f>
        <v>Less Popular</v>
      </c>
    </row>
    <row r="480" spans="2:21" x14ac:dyDescent="0.3">
      <c r="B480" s="8" t="s">
        <v>649</v>
      </c>
      <c r="C480" s="8" t="s">
        <v>640</v>
      </c>
      <c r="D480" s="9">
        <v>40476</v>
      </c>
      <c r="E480" s="8">
        <v>6</v>
      </c>
      <c r="F480" s="8">
        <v>0.1076388888888889</v>
      </c>
      <c r="G480" s="8">
        <v>0.25972222222222224</v>
      </c>
      <c r="H480" s="8">
        <v>0.35833333333333334</v>
      </c>
      <c r="I480" s="11">
        <v>0</v>
      </c>
      <c r="J480" s="8">
        <v>0.55208333333333337</v>
      </c>
      <c r="K480" s="10">
        <v>-8745</v>
      </c>
      <c r="L480" s="8">
        <v>0.20416666666666669</v>
      </c>
      <c r="M480" s="10">
        <v>142057</v>
      </c>
      <c r="N480" s="8">
        <v>0.11875000000000001</v>
      </c>
      <c r="O480" s="8">
        <v>47</v>
      </c>
      <c r="P480" s="8">
        <v>362826</v>
      </c>
      <c r="Q480" s="8">
        <f>YEAR(Table13[[#This Row],[release_date]])</f>
        <v>2010</v>
      </c>
      <c r="R480" s="8">
        <f>ROUND(Table13[[#This Row],[duration_ms]]/60000,2)</f>
        <v>6.05</v>
      </c>
      <c r="S480" s="8" t="str">
        <f>IF(Table13[[#This Row],[valence]]&gt;=0.6, "Happy", IF(Table13[[#This Row],[valence]]&gt;=0.4, "Neutral", "Sad"))</f>
        <v>Sad</v>
      </c>
      <c r="T480" s="8" t="str">
        <f>IF(Table13[[#This Row],[energy]]&gt;=0.7, "High Energy", IF(Table13[[#This Row],[energy]]&gt;=0.4, "Medium Energy", "Low Energy"))</f>
        <v>Low Energy</v>
      </c>
      <c r="U480" s="17" t="str">
        <f>IF(Table13[[#This Row],[popularity]]&gt;70, "Popular", IF(Table13[[#This Row],[popularity]]&lt;40, "Less Popular", "Mid"))</f>
        <v>Mid</v>
      </c>
    </row>
    <row r="481" spans="2:21" x14ac:dyDescent="0.3">
      <c r="B481" s="8" t="s">
        <v>650</v>
      </c>
      <c r="C481" s="8" t="s">
        <v>640</v>
      </c>
      <c r="D481" s="9">
        <v>40476</v>
      </c>
      <c r="E481" s="8">
        <v>7</v>
      </c>
      <c r="F481" s="8" t="s">
        <v>651</v>
      </c>
      <c r="G481" s="8">
        <v>0.30902777777777779</v>
      </c>
      <c r="H481" s="8">
        <v>0.61597222222222225</v>
      </c>
      <c r="I481" s="8" t="s">
        <v>304</v>
      </c>
      <c r="J481" s="8">
        <v>0.64652777777777781</v>
      </c>
      <c r="K481" s="10">
        <v>-5629</v>
      </c>
      <c r="L481" s="8">
        <v>0.53333333333333333</v>
      </c>
      <c r="M481" s="10">
        <v>145954</v>
      </c>
      <c r="N481" s="8">
        <v>0.26805555555555555</v>
      </c>
      <c r="O481" s="8">
        <v>41</v>
      </c>
      <c r="P481" s="8">
        <v>344573</v>
      </c>
      <c r="Q481" s="8">
        <f>YEAR(Table13[[#This Row],[release_date]])</f>
        <v>2010</v>
      </c>
      <c r="R481" s="8">
        <f>ROUND(Table13[[#This Row],[duration_ms]]/60000,2)</f>
        <v>5.74</v>
      </c>
      <c r="S481" s="8" t="str">
        <f>IF(Table13[[#This Row],[valence]]&gt;=0.6, "Happy", IF(Table13[[#This Row],[valence]]&gt;=0.4, "Neutral", "Sad"))</f>
        <v>Sad</v>
      </c>
      <c r="T481" s="8" t="str">
        <f>IF(Table13[[#This Row],[energy]]&gt;=0.7, "High Energy", IF(Table13[[#This Row],[energy]]&gt;=0.4, "Medium Energy", "Low Energy"))</f>
        <v>Medium Energy</v>
      </c>
      <c r="U481" s="17" t="str">
        <f>IF(Table13[[#This Row],[popularity]]&gt;70, "Popular", IF(Table13[[#This Row],[popularity]]&lt;40, "Less Popular", "Mid"))</f>
        <v>Mid</v>
      </c>
    </row>
    <row r="482" spans="2:21" x14ac:dyDescent="0.3">
      <c r="B482" s="8" t="s">
        <v>652</v>
      </c>
      <c r="C482" s="8" t="s">
        <v>640</v>
      </c>
      <c r="D482" s="9">
        <v>40476</v>
      </c>
      <c r="E482" s="8">
        <v>8</v>
      </c>
      <c r="F482" s="8">
        <v>0.44166666666666665</v>
      </c>
      <c r="G482" s="8">
        <v>0.42708333333333331</v>
      </c>
      <c r="H482" s="8">
        <v>0.48194444444444445</v>
      </c>
      <c r="I482" s="8" t="s">
        <v>653</v>
      </c>
      <c r="J482" s="8">
        <v>5.7638888888888885E-2</v>
      </c>
      <c r="K482" s="10">
        <v>-5251</v>
      </c>
      <c r="L482" s="8">
        <v>0.22083333333333333</v>
      </c>
      <c r="M482" s="10">
        <v>118876</v>
      </c>
      <c r="N482" s="8">
        <v>0.2590277777777778</v>
      </c>
      <c r="O482" s="8">
        <v>40</v>
      </c>
      <c r="P482" s="8">
        <v>248146</v>
      </c>
      <c r="Q482" s="8">
        <f>YEAR(Table13[[#This Row],[release_date]])</f>
        <v>2010</v>
      </c>
      <c r="R482" s="8">
        <f>ROUND(Table13[[#This Row],[duration_ms]]/60000,2)</f>
        <v>4.1399999999999997</v>
      </c>
      <c r="S482" s="8" t="str">
        <f>IF(Table13[[#This Row],[valence]]&gt;=0.6, "Happy", IF(Table13[[#This Row],[valence]]&gt;=0.4, "Neutral", "Sad"))</f>
        <v>Sad</v>
      </c>
      <c r="T482" s="8" t="str">
        <f>IF(Table13[[#This Row],[energy]]&gt;=0.7, "High Energy", IF(Table13[[#This Row],[energy]]&gt;=0.4, "Medium Energy", "Low Energy"))</f>
        <v>Medium Energy</v>
      </c>
      <c r="U482" s="17" t="str">
        <f>IF(Table13[[#This Row],[popularity]]&gt;70, "Popular", IF(Table13[[#This Row],[popularity]]&lt;40, "Less Popular", "Mid"))</f>
        <v>Mid</v>
      </c>
    </row>
    <row r="483" spans="2:21" x14ac:dyDescent="0.3">
      <c r="B483" s="8" t="s">
        <v>654</v>
      </c>
      <c r="C483" s="8" t="s">
        <v>640</v>
      </c>
      <c r="D483" s="9">
        <v>40476</v>
      </c>
      <c r="E483" s="8">
        <v>9</v>
      </c>
      <c r="F483" s="8">
        <v>0.1423611111111111</v>
      </c>
      <c r="G483" s="8">
        <v>0.29652777777777778</v>
      </c>
      <c r="H483" s="8">
        <v>0.27430555555555552</v>
      </c>
      <c r="I483" s="8" t="s">
        <v>655</v>
      </c>
      <c r="J483" s="8">
        <v>0.48680555555555555</v>
      </c>
      <c r="K483" s="10">
        <v>-12551</v>
      </c>
      <c r="L483" s="8">
        <v>0.20208333333333331</v>
      </c>
      <c r="M483" s="10">
        <v>79517</v>
      </c>
      <c r="N483" s="8">
        <v>0.13055555555555556</v>
      </c>
      <c r="O483" s="8">
        <v>40</v>
      </c>
      <c r="P483" s="8">
        <v>369066</v>
      </c>
      <c r="Q483" s="8">
        <f>YEAR(Table13[[#This Row],[release_date]])</f>
        <v>2010</v>
      </c>
      <c r="R483" s="8">
        <f>ROUND(Table13[[#This Row],[duration_ms]]/60000,2)</f>
        <v>6.15</v>
      </c>
      <c r="S483" s="8" t="str">
        <f>IF(Table13[[#This Row],[valence]]&gt;=0.6, "Happy", IF(Table13[[#This Row],[valence]]&gt;=0.4, "Neutral", "Sad"))</f>
        <v>Sad</v>
      </c>
      <c r="T483" s="8" t="str">
        <f>IF(Table13[[#This Row],[energy]]&gt;=0.7, "High Energy", IF(Table13[[#This Row],[energy]]&gt;=0.4, "Medium Energy", "Low Energy"))</f>
        <v>Low Energy</v>
      </c>
      <c r="U483" s="17" t="str">
        <f>IF(Table13[[#This Row],[popularity]]&gt;70, "Popular", IF(Table13[[#This Row],[popularity]]&lt;40, "Less Popular", "Mid"))</f>
        <v>Mid</v>
      </c>
    </row>
    <row r="484" spans="2:21" x14ac:dyDescent="0.3">
      <c r="B484" s="8" t="s">
        <v>656</v>
      </c>
      <c r="C484" s="8" t="s">
        <v>640</v>
      </c>
      <c r="D484" s="9">
        <v>40476</v>
      </c>
      <c r="E484" s="8">
        <v>10</v>
      </c>
      <c r="F484" s="8">
        <v>0.55972222222222223</v>
      </c>
      <c r="G484" s="8">
        <v>0.25972222222222224</v>
      </c>
      <c r="H484" s="8">
        <v>0.35000000000000003</v>
      </c>
      <c r="I484" s="11">
        <v>0</v>
      </c>
      <c r="J484" s="8">
        <v>5.2777777777777778E-2</v>
      </c>
      <c r="K484" s="10">
        <v>-8407</v>
      </c>
      <c r="L484" s="8">
        <v>0.2722222222222222</v>
      </c>
      <c r="M484" s="10">
        <v>109025</v>
      </c>
      <c r="N484" s="11">
        <v>1.8749999999999999E-2</v>
      </c>
      <c r="O484" s="8">
        <v>46</v>
      </c>
      <c r="P484" s="8">
        <v>315173</v>
      </c>
      <c r="Q484" s="8">
        <f>YEAR(Table13[[#This Row],[release_date]])</f>
        <v>2010</v>
      </c>
      <c r="R484" s="8">
        <f>ROUND(Table13[[#This Row],[duration_ms]]/60000,2)</f>
        <v>5.25</v>
      </c>
      <c r="S484" s="8" t="str">
        <f>IF(Table13[[#This Row],[valence]]&gt;=0.6, "Happy", IF(Table13[[#This Row],[valence]]&gt;=0.4, "Neutral", "Sad"))</f>
        <v>Sad</v>
      </c>
      <c r="T484" s="8" t="str">
        <f>IF(Table13[[#This Row],[energy]]&gt;=0.7, "High Energy", IF(Table13[[#This Row],[energy]]&gt;=0.4, "Medium Energy", "Low Energy"))</f>
        <v>Low Energy</v>
      </c>
      <c r="U484" s="17" t="str">
        <f>IF(Table13[[#This Row],[popularity]]&gt;70, "Popular", IF(Table13[[#This Row],[popularity]]&lt;40, "Less Popular", "Mid"))</f>
        <v>Mid</v>
      </c>
    </row>
    <row r="485" spans="2:21" x14ac:dyDescent="0.3">
      <c r="B485" s="8" t="s">
        <v>657</v>
      </c>
      <c r="C485" s="8" t="s">
        <v>640</v>
      </c>
      <c r="D485" s="9">
        <v>40476</v>
      </c>
      <c r="E485" s="8">
        <v>11</v>
      </c>
      <c r="F485" s="8">
        <v>0.49513888888888885</v>
      </c>
      <c r="G485" s="8">
        <v>0.22708333333333333</v>
      </c>
      <c r="H485" s="8">
        <v>0.33888888888888885</v>
      </c>
      <c r="I485" s="11">
        <v>0</v>
      </c>
      <c r="J485" s="8">
        <v>0.58124999999999993</v>
      </c>
      <c r="K485" s="10">
        <v>-9287</v>
      </c>
      <c r="L485" s="8">
        <v>0.22361111111111109</v>
      </c>
      <c r="M485" s="14">
        <v>4.365277777777778</v>
      </c>
      <c r="N485" s="8">
        <v>0.25208333333333333</v>
      </c>
      <c r="O485" s="8">
        <v>42</v>
      </c>
      <c r="P485" s="8">
        <v>189146</v>
      </c>
      <c r="Q485" s="8">
        <f>YEAR(Table13[[#This Row],[release_date]])</f>
        <v>2010</v>
      </c>
      <c r="R485" s="8">
        <f>ROUND(Table13[[#This Row],[duration_ms]]/60000,2)</f>
        <v>3.15</v>
      </c>
      <c r="S485" s="8" t="str">
        <f>IF(Table13[[#This Row],[valence]]&gt;=0.6, "Happy", IF(Table13[[#This Row],[valence]]&gt;=0.4, "Neutral", "Sad"))</f>
        <v>Sad</v>
      </c>
      <c r="T485" s="8" t="str">
        <f>IF(Table13[[#This Row],[energy]]&gt;=0.7, "High Energy", IF(Table13[[#This Row],[energy]]&gt;=0.4, "Medium Energy", "Low Energy"))</f>
        <v>Low Energy</v>
      </c>
      <c r="U485" s="17" t="str">
        <f>IF(Table13[[#This Row],[popularity]]&gt;70, "Popular", IF(Table13[[#This Row],[popularity]]&lt;40, "Less Popular", "Mid"))</f>
        <v>Mid</v>
      </c>
    </row>
    <row r="486" spans="2:21" x14ac:dyDescent="0.3">
      <c r="B486" s="8" t="s">
        <v>658</v>
      </c>
      <c r="C486" s="8" t="s">
        <v>640</v>
      </c>
      <c r="D486" s="9">
        <v>40476</v>
      </c>
      <c r="E486" s="8">
        <v>12</v>
      </c>
      <c r="F486" s="8">
        <v>0.55138888888888882</v>
      </c>
      <c r="G486" s="8">
        <v>0.37222222222222223</v>
      </c>
      <c r="H486" s="8">
        <v>0.35555555555555557</v>
      </c>
      <c r="I486" s="8" t="s">
        <v>659</v>
      </c>
      <c r="J486" s="8">
        <v>0.34513888888888888</v>
      </c>
      <c r="K486" s="10">
        <v>-6794</v>
      </c>
      <c r="L486" s="8">
        <v>0.23680555555555557</v>
      </c>
      <c r="M486" s="10">
        <v>97397</v>
      </c>
      <c r="N486" s="8">
        <v>0.17291666666666669</v>
      </c>
      <c r="O486" s="8">
        <v>40</v>
      </c>
      <c r="P486" s="8">
        <v>83253</v>
      </c>
      <c r="Q486" s="8">
        <f>YEAR(Table13[[#This Row],[release_date]])</f>
        <v>2010</v>
      </c>
      <c r="R486" s="8">
        <f>ROUND(Table13[[#This Row],[duration_ms]]/60000,2)</f>
        <v>1.39</v>
      </c>
      <c r="S486" s="8" t="str">
        <f>IF(Table13[[#This Row],[valence]]&gt;=0.6, "Happy", IF(Table13[[#This Row],[valence]]&gt;=0.4, "Neutral", "Sad"))</f>
        <v>Sad</v>
      </c>
      <c r="T486" s="8" t="str">
        <f>IF(Table13[[#This Row],[energy]]&gt;=0.7, "High Energy", IF(Table13[[#This Row],[energy]]&gt;=0.4, "Medium Energy", "Low Energy"))</f>
        <v>Low Energy</v>
      </c>
      <c r="U486" s="17" t="str">
        <f>IF(Table13[[#This Row],[popularity]]&gt;70, "Popular", IF(Table13[[#This Row],[popularity]]&lt;40, "Less Popular", "Mid"))</f>
        <v>Mid</v>
      </c>
    </row>
    <row r="487" spans="2:21" x14ac:dyDescent="0.3">
      <c r="B487" s="8" t="s">
        <v>660</v>
      </c>
      <c r="C487" s="8" t="s">
        <v>640</v>
      </c>
      <c r="D487" s="9">
        <v>40476</v>
      </c>
      <c r="E487" s="8">
        <v>13</v>
      </c>
      <c r="F487" s="8">
        <v>0.10902777777777778</v>
      </c>
      <c r="G487" s="8">
        <v>0.36180555555555555</v>
      </c>
      <c r="H487" s="8">
        <v>0.26805555555555555</v>
      </c>
      <c r="I487" s="11">
        <v>0</v>
      </c>
      <c r="J487" s="8">
        <v>0.61388888888888882</v>
      </c>
      <c r="K487" s="10">
        <v>-8784</v>
      </c>
      <c r="L487" s="8">
        <v>0.20902777777777778</v>
      </c>
      <c r="M487" s="10">
        <v>119518</v>
      </c>
      <c r="N487" s="8">
        <v>9.5833333333333326E-2</v>
      </c>
      <c r="O487" s="8">
        <v>40</v>
      </c>
      <c r="P487" s="8">
        <v>404680</v>
      </c>
      <c r="Q487" s="8">
        <f>YEAR(Table13[[#This Row],[release_date]])</f>
        <v>2010</v>
      </c>
      <c r="R487" s="8">
        <f>ROUND(Table13[[#This Row],[duration_ms]]/60000,2)</f>
        <v>6.74</v>
      </c>
      <c r="S487" s="8" t="str">
        <f>IF(Table13[[#This Row],[valence]]&gt;=0.6, "Happy", IF(Table13[[#This Row],[valence]]&gt;=0.4, "Neutral", "Sad"))</f>
        <v>Sad</v>
      </c>
      <c r="T487" s="8" t="str">
        <f>IF(Table13[[#This Row],[energy]]&gt;=0.7, "High Energy", IF(Table13[[#This Row],[energy]]&gt;=0.4, "Medium Energy", "Low Energy"))</f>
        <v>Low Energy</v>
      </c>
      <c r="U487" s="17" t="str">
        <f>IF(Table13[[#This Row],[popularity]]&gt;70, "Popular", IF(Table13[[#This Row],[popularity]]&lt;40, "Less Popular", "Mid"))</f>
        <v>Mid</v>
      </c>
    </row>
    <row r="488" spans="2:21" x14ac:dyDescent="0.3">
      <c r="B488" s="8" t="s">
        <v>661</v>
      </c>
      <c r="C488" s="8" t="s">
        <v>640</v>
      </c>
      <c r="D488" s="9">
        <v>40476</v>
      </c>
      <c r="E488" s="8">
        <v>14</v>
      </c>
      <c r="F488" s="8">
        <v>0.51874999999999993</v>
      </c>
      <c r="G488" s="11">
        <v>2.361111111111111E-2</v>
      </c>
      <c r="H488" s="8">
        <v>0.4604166666666667</v>
      </c>
      <c r="I488" s="8" t="s">
        <v>662</v>
      </c>
      <c r="J488" s="8">
        <v>0.39097222222222222</v>
      </c>
      <c r="K488" s="10">
        <v>-5597</v>
      </c>
      <c r="L488" s="8">
        <v>0.2298611111111111</v>
      </c>
      <c r="M488" s="10">
        <v>163678</v>
      </c>
      <c r="N488" s="8">
        <v>0.14861111111111111</v>
      </c>
      <c r="O488" s="8">
        <v>42</v>
      </c>
      <c r="P488" s="8">
        <v>389213</v>
      </c>
      <c r="Q488" s="8">
        <f>YEAR(Table13[[#This Row],[release_date]])</f>
        <v>2010</v>
      </c>
      <c r="R488" s="8">
        <f>ROUND(Table13[[#This Row],[duration_ms]]/60000,2)</f>
        <v>6.49</v>
      </c>
      <c r="S488" s="8" t="str">
        <f>IF(Table13[[#This Row],[valence]]&gt;=0.6, "Happy", IF(Table13[[#This Row],[valence]]&gt;=0.4, "Neutral", "Sad"))</f>
        <v>Sad</v>
      </c>
      <c r="T488" s="8" t="str">
        <f>IF(Table13[[#This Row],[energy]]&gt;=0.7, "High Energy", IF(Table13[[#This Row],[energy]]&gt;=0.4, "Medium Energy", "Low Energy"))</f>
        <v>Medium Energy</v>
      </c>
      <c r="U488" s="17" t="str">
        <f>IF(Table13[[#This Row],[popularity]]&gt;70, "Popular", IF(Table13[[#This Row],[popularity]]&lt;40, "Less Popular", "Mid"))</f>
        <v>Mid</v>
      </c>
    </row>
    <row r="489" spans="2:21" x14ac:dyDescent="0.3">
      <c r="B489" s="8" t="s">
        <v>663</v>
      </c>
      <c r="C489" s="8" t="s">
        <v>640</v>
      </c>
      <c r="D489" s="9">
        <v>40476</v>
      </c>
      <c r="E489" s="8">
        <v>15</v>
      </c>
      <c r="F489" s="8">
        <v>0.17013888888888887</v>
      </c>
      <c r="G489" s="8">
        <v>0.23472222222222225</v>
      </c>
      <c r="H489" s="8">
        <v>0.56805555555555554</v>
      </c>
      <c r="I489" s="11">
        <v>0</v>
      </c>
      <c r="J489" s="8">
        <v>0.61736111111111114</v>
      </c>
      <c r="K489" s="10">
        <v>-7495</v>
      </c>
      <c r="L489" s="8">
        <v>0.3444444444444445</v>
      </c>
      <c r="M489" s="10">
        <v>162157</v>
      </c>
      <c r="N489" s="8">
        <v>0.12291666666666667</v>
      </c>
      <c r="O489" s="8">
        <v>41</v>
      </c>
      <c r="P489" s="8">
        <v>292426</v>
      </c>
      <c r="Q489" s="8">
        <f>YEAR(Table13[[#This Row],[release_date]])</f>
        <v>2010</v>
      </c>
      <c r="R489" s="8">
        <f>ROUND(Table13[[#This Row],[duration_ms]]/60000,2)</f>
        <v>4.87</v>
      </c>
      <c r="S489" s="8" t="str">
        <f>IF(Table13[[#This Row],[valence]]&gt;=0.6, "Happy", IF(Table13[[#This Row],[valence]]&gt;=0.4, "Neutral", "Sad"))</f>
        <v>Sad</v>
      </c>
      <c r="T489" s="8" t="str">
        <f>IF(Table13[[#This Row],[energy]]&gt;=0.7, "High Energy", IF(Table13[[#This Row],[energy]]&gt;=0.4, "Medium Energy", "Low Energy"))</f>
        <v>Medium Energy</v>
      </c>
      <c r="U489" s="17" t="str">
        <f>IF(Table13[[#This Row],[popularity]]&gt;70, "Popular", IF(Table13[[#This Row],[popularity]]&lt;40, "Less Popular", "Mid"))</f>
        <v>Mid</v>
      </c>
    </row>
    <row r="490" spans="2:21" x14ac:dyDescent="0.3">
      <c r="B490" s="8" t="s">
        <v>664</v>
      </c>
      <c r="C490" s="8" t="s">
        <v>640</v>
      </c>
      <c r="D490" s="9">
        <v>40476</v>
      </c>
      <c r="E490" s="8">
        <v>16</v>
      </c>
      <c r="F490" s="8" t="s">
        <v>665</v>
      </c>
      <c r="G490" s="8">
        <v>0.37777777777777777</v>
      </c>
      <c r="H490" s="8">
        <v>0.50555555555555554</v>
      </c>
      <c r="I490" s="11">
        <v>0</v>
      </c>
      <c r="J490" s="8">
        <v>0.60069444444444442</v>
      </c>
      <c r="K490" s="10">
        <v>-5838</v>
      </c>
      <c r="L490" s="8">
        <v>0.19583333333333333</v>
      </c>
      <c r="M490" s="10">
        <v>101939</v>
      </c>
      <c r="N490" s="8">
        <v>0.14166666666666666</v>
      </c>
      <c r="O490" s="8">
        <v>41</v>
      </c>
      <c r="P490" s="8">
        <v>376466</v>
      </c>
      <c r="Q490" s="8">
        <f>YEAR(Table13[[#This Row],[release_date]])</f>
        <v>2010</v>
      </c>
      <c r="R490" s="8">
        <f>ROUND(Table13[[#This Row],[duration_ms]]/60000,2)</f>
        <v>6.27</v>
      </c>
      <c r="S490" s="8" t="str">
        <f>IF(Table13[[#This Row],[valence]]&gt;=0.6, "Happy", IF(Table13[[#This Row],[valence]]&gt;=0.4, "Neutral", "Sad"))</f>
        <v>Sad</v>
      </c>
      <c r="T490" s="8" t="str">
        <f>IF(Table13[[#This Row],[energy]]&gt;=0.7, "High Energy", IF(Table13[[#This Row],[energy]]&gt;=0.4, "Medium Energy", "Low Energy"))</f>
        <v>Medium Energy</v>
      </c>
      <c r="U490" s="17" t="str">
        <f>IF(Table13[[#This Row],[popularity]]&gt;70, "Popular", IF(Table13[[#This Row],[popularity]]&lt;40, "Less Popular", "Mid"))</f>
        <v>Mid</v>
      </c>
    </row>
    <row r="491" spans="2:21" x14ac:dyDescent="0.3">
      <c r="B491" s="8" t="s">
        <v>666</v>
      </c>
      <c r="C491" s="8" t="s">
        <v>554</v>
      </c>
      <c r="D491" s="9">
        <v>40476</v>
      </c>
      <c r="E491" s="8">
        <v>1</v>
      </c>
      <c r="F491" s="8" t="s">
        <v>667</v>
      </c>
      <c r="G491" s="8">
        <v>0.48333333333333334</v>
      </c>
      <c r="H491" s="8">
        <v>0.53333333333333333</v>
      </c>
      <c r="I491" s="8" t="s">
        <v>668</v>
      </c>
      <c r="J491" s="8">
        <v>7.013888888888889E-2</v>
      </c>
      <c r="K491" s="10">
        <v>-3863</v>
      </c>
      <c r="L491" s="8">
        <v>0.21388888888888891</v>
      </c>
      <c r="M491" s="14">
        <v>5.0451388888888884</v>
      </c>
      <c r="N491" s="8">
        <v>0.48055555555555557</v>
      </c>
      <c r="O491" s="8">
        <v>42</v>
      </c>
      <c r="P491" s="8">
        <v>230546</v>
      </c>
      <c r="Q491" s="8">
        <f>YEAR(Table13[[#This Row],[release_date]])</f>
        <v>2010</v>
      </c>
      <c r="R491" s="8">
        <f>ROUND(Table13[[#This Row],[duration_ms]]/60000,2)</f>
        <v>3.84</v>
      </c>
      <c r="S491" s="8" t="str">
        <f>IF(Table13[[#This Row],[valence]]&gt;=0.6, "Happy", IF(Table13[[#This Row],[valence]]&gt;=0.4, "Neutral", "Sad"))</f>
        <v>Neutral</v>
      </c>
      <c r="T491" s="8" t="str">
        <f>IF(Table13[[#This Row],[energy]]&gt;=0.7, "High Energy", IF(Table13[[#This Row],[energy]]&gt;=0.4, "Medium Energy", "Low Energy"))</f>
        <v>Medium Energy</v>
      </c>
      <c r="U491" s="17" t="str">
        <f>IF(Table13[[#This Row],[popularity]]&gt;70, "Popular", IF(Table13[[#This Row],[popularity]]&lt;40, "Less Popular", "Mid"))</f>
        <v>Mid</v>
      </c>
    </row>
    <row r="492" spans="2:21" x14ac:dyDescent="0.3">
      <c r="B492" s="8" t="s">
        <v>510</v>
      </c>
      <c r="C492" s="8" t="s">
        <v>554</v>
      </c>
      <c r="D492" s="9">
        <v>40476</v>
      </c>
      <c r="E492" s="8">
        <v>2</v>
      </c>
      <c r="F492" s="8">
        <v>0.26874999999999999</v>
      </c>
      <c r="G492" s="8">
        <v>0.42222222222222222</v>
      </c>
      <c r="H492" s="8">
        <v>0.54513888888888895</v>
      </c>
      <c r="I492" s="11">
        <v>0</v>
      </c>
      <c r="J492" s="8">
        <v>0.10972222222222222</v>
      </c>
      <c r="K492" s="10">
        <v>-2976</v>
      </c>
      <c r="L492" s="8">
        <v>0.21597222222222223</v>
      </c>
      <c r="M492" s="10">
        <v>114985</v>
      </c>
      <c r="N492" s="8">
        <v>0.26111111111111113</v>
      </c>
      <c r="O492" s="8">
        <v>53</v>
      </c>
      <c r="P492" s="8">
        <v>260946</v>
      </c>
      <c r="Q492" s="8">
        <f>YEAR(Table13[[#This Row],[release_date]])</f>
        <v>2010</v>
      </c>
      <c r="R492" s="8">
        <f>ROUND(Table13[[#This Row],[duration_ms]]/60000,2)</f>
        <v>4.3499999999999996</v>
      </c>
      <c r="S492" s="8" t="str">
        <f>IF(Table13[[#This Row],[valence]]&gt;=0.6, "Happy", IF(Table13[[#This Row],[valence]]&gt;=0.4, "Neutral", "Sad"))</f>
        <v>Sad</v>
      </c>
      <c r="T492" s="8" t="str">
        <f>IF(Table13[[#This Row],[energy]]&gt;=0.7, "High Energy", IF(Table13[[#This Row],[energy]]&gt;=0.4, "Medium Energy", "Low Energy"))</f>
        <v>Medium Energy</v>
      </c>
      <c r="U492" s="17" t="str">
        <f>IF(Table13[[#This Row],[popularity]]&gt;70, "Popular", IF(Table13[[#This Row],[popularity]]&lt;40, "Less Popular", "Mid"))</f>
        <v>Mid</v>
      </c>
    </row>
    <row r="493" spans="2:21" x14ac:dyDescent="0.3">
      <c r="B493" s="8" t="s">
        <v>669</v>
      </c>
      <c r="C493" s="8" t="s">
        <v>554</v>
      </c>
      <c r="D493" s="9">
        <v>40476</v>
      </c>
      <c r="E493" s="8">
        <v>3</v>
      </c>
      <c r="F493" s="8">
        <v>0.14027777777777778</v>
      </c>
      <c r="G493" s="8">
        <v>0.35902777777777778</v>
      </c>
      <c r="H493" s="8">
        <v>0.42083333333333334</v>
      </c>
      <c r="I493" s="11">
        <v>0</v>
      </c>
      <c r="J493" s="8">
        <v>0.22500000000000001</v>
      </c>
      <c r="K493" s="10">
        <v>-5797</v>
      </c>
      <c r="L493" s="8">
        <v>0.20069444444444443</v>
      </c>
      <c r="M493" s="10">
        <v>141929</v>
      </c>
      <c r="N493" s="8">
        <v>0.20555555555555557</v>
      </c>
      <c r="O493" s="8">
        <v>62</v>
      </c>
      <c r="P493" s="8">
        <v>293040</v>
      </c>
      <c r="Q493" s="8">
        <f>YEAR(Table13[[#This Row],[release_date]])</f>
        <v>2010</v>
      </c>
      <c r="R493" s="8">
        <f>ROUND(Table13[[#This Row],[duration_ms]]/60000,2)</f>
        <v>4.88</v>
      </c>
      <c r="S493" s="8" t="str">
        <f>IF(Table13[[#This Row],[valence]]&gt;=0.6, "Happy", IF(Table13[[#This Row],[valence]]&gt;=0.4, "Neutral", "Sad"))</f>
        <v>Sad</v>
      </c>
      <c r="T493" s="8" t="str">
        <f>IF(Table13[[#This Row],[energy]]&gt;=0.7, "High Energy", IF(Table13[[#This Row],[energy]]&gt;=0.4, "Medium Energy", "Low Energy"))</f>
        <v>Medium Energy</v>
      </c>
      <c r="U493" s="17" t="str">
        <f>IF(Table13[[#This Row],[popularity]]&gt;70, "Popular", IF(Table13[[#This Row],[popularity]]&lt;40, "Less Popular", "Mid"))</f>
        <v>Mid</v>
      </c>
    </row>
    <row r="494" spans="2:21" x14ac:dyDescent="0.3">
      <c r="B494" s="8" t="s">
        <v>554</v>
      </c>
      <c r="C494" s="8" t="s">
        <v>554</v>
      </c>
      <c r="D494" s="9">
        <v>40476</v>
      </c>
      <c r="E494" s="8">
        <v>4</v>
      </c>
      <c r="F494" s="8">
        <v>7.013888888888889E-2</v>
      </c>
      <c r="G494" s="8">
        <v>0.4916666666666667</v>
      </c>
      <c r="H494" s="8">
        <v>0.41736111111111113</v>
      </c>
      <c r="I494" s="11">
        <v>0</v>
      </c>
      <c r="J494" s="8">
        <v>0.67986111111111114</v>
      </c>
      <c r="K494" s="8" t="s">
        <v>670</v>
      </c>
      <c r="L494" s="8">
        <v>0.21249999999999999</v>
      </c>
      <c r="M494" s="10">
        <v>118962</v>
      </c>
      <c r="N494" s="8">
        <v>0.51527777777777783</v>
      </c>
      <c r="O494" s="8">
        <v>50</v>
      </c>
      <c r="P494" s="8">
        <v>240773</v>
      </c>
      <c r="Q494" s="8">
        <f>YEAR(Table13[[#This Row],[release_date]])</f>
        <v>2010</v>
      </c>
      <c r="R494" s="8">
        <f>ROUND(Table13[[#This Row],[duration_ms]]/60000,2)</f>
        <v>4.01</v>
      </c>
      <c r="S494" s="8" t="str">
        <f>IF(Table13[[#This Row],[valence]]&gt;=0.6, "Happy", IF(Table13[[#This Row],[valence]]&gt;=0.4, "Neutral", "Sad"))</f>
        <v>Neutral</v>
      </c>
      <c r="T494" s="8" t="str">
        <f>IF(Table13[[#This Row],[energy]]&gt;=0.7, "High Energy", IF(Table13[[#This Row],[energy]]&gt;=0.4, "Medium Energy", "Low Energy"))</f>
        <v>Medium Energy</v>
      </c>
      <c r="U494" s="17" t="str">
        <f>IF(Table13[[#This Row],[popularity]]&gt;70, "Popular", IF(Table13[[#This Row],[popularity]]&lt;40, "Less Popular", "Mid"))</f>
        <v>Mid</v>
      </c>
    </row>
    <row r="495" spans="2:21" x14ac:dyDescent="0.3">
      <c r="B495" s="8" t="s">
        <v>671</v>
      </c>
      <c r="C495" s="8" t="s">
        <v>554</v>
      </c>
      <c r="D495" s="9">
        <v>40476</v>
      </c>
      <c r="E495" s="8">
        <v>5</v>
      </c>
      <c r="F495" s="8">
        <v>0.12708333333333333</v>
      </c>
      <c r="G495" s="8">
        <v>0.40486111111111112</v>
      </c>
      <c r="H495" s="8">
        <v>0.32500000000000001</v>
      </c>
      <c r="I495" s="8" t="s">
        <v>672</v>
      </c>
      <c r="J495" s="8">
        <v>7.7083333333333337E-2</v>
      </c>
      <c r="K495" s="10">
        <v>-5378</v>
      </c>
      <c r="L495" s="8">
        <v>0.19305555555555556</v>
      </c>
      <c r="M495" s="10">
        <v>119375</v>
      </c>
      <c r="N495" s="8">
        <v>8.7500000000000008E-2</v>
      </c>
      <c r="O495" s="8">
        <v>46</v>
      </c>
      <c r="P495" s="8">
        <v>403933</v>
      </c>
      <c r="Q495" s="8">
        <f>YEAR(Table13[[#This Row],[release_date]])</f>
        <v>2010</v>
      </c>
      <c r="R495" s="8">
        <f>ROUND(Table13[[#This Row],[duration_ms]]/60000,2)</f>
        <v>6.73</v>
      </c>
      <c r="S495" s="8" t="str">
        <f>IF(Table13[[#This Row],[valence]]&gt;=0.6, "Happy", IF(Table13[[#This Row],[valence]]&gt;=0.4, "Neutral", "Sad"))</f>
        <v>Sad</v>
      </c>
      <c r="T495" s="8" t="str">
        <f>IF(Table13[[#This Row],[energy]]&gt;=0.7, "High Energy", IF(Table13[[#This Row],[energy]]&gt;=0.4, "Medium Energy", "Low Energy"))</f>
        <v>Low Energy</v>
      </c>
      <c r="U495" s="17" t="str">
        <f>IF(Table13[[#This Row],[popularity]]&gt;70, "Popular", IF(Table13[[#This Row],[popularity]]&lt;40, "Less Popular", "Mid"))</f>
        <v>Mid</v>
      </c>
    </row>
    <row r="496" spans="2:21" x14ac:dyDescent="0.3">
      <c r="B496" s="8" t="s">
        <v>501</v>
      </c>
      <c r="C496" s="8" t="s">
        <v>554</v>
      </c>
      <c r="D496" s="9">
        <v>40476</v>
      </c>
      <c r="E496" s="8">
        <v>6</v>
      </c>
      <c r="F496" s="8">
        <v>0.30902777777777779</v>
      </c>
      <c r="G496" s="11">
        <v>3.9583333333333331E-2</v>
      </c>
      <c r="H496" s="8">
        <v>0.51874999999999993</v>
      </c>
      <c r="I496" s="11">
        <v>0</v>
      </c>
      <c r="J496" s="8">
        <v>0.15208333333333332</v>
      </c>
      <c r="K496" s="10">
        <v>-3978</v>
      </c>
      <c r="L496" s="8">
        <v>0.29583333333333334</v>
      </c>
      <c r="M496" s="10">
        <v>164004</v>
      </c>
      <c r="N496" s="8">
        <v>0.56111111111111112</v>
      </c>
      <c r="O496" s="8">
        <v>51</v>
      </c>
      <c r="P496" s="8">
        <v>237746</v>
      </c>
      <c r="Q496" s="8">
        <f>YEAR(Table13[[#This Row],[release_date]])</f>
        <v>2010</v>
      </c>
      <c r="R496" s="8">
        <f>ROUND(Table13[[#This Row],[duration_ms]]/60000,2)</f>
        <v>3.96</v>
      </c>
      <c r="S496" s="8" t="str">
        <f>IF(Table13[[#This Row],[valence]]&gt;=0.6, "Happy", IF(Table13[[#This Row],[valence]]&gt;=0.4, "Neutral", "Sad"))</f>
        <v>Neutral</v>
      </c>
      <c r="T496" s="8" t="str">
        <f>IF(Table13[[#This Row],[energy]]&gt;=0.7, "High Energy", IF(Table13[[#This Row],[energy]]&gt;=0.4, "Medium Energy", "Low Energy"))</f>
        <v>Medium Energy</v>
      </c>
      <c r="U496" s="17" t="str">
        <f>IF(Table13[[#This Row],[popularity]]&gt;70, "Popular", IF(Table13[[#This Row],[popularity]]&lt;40, "Less Popular", "Mid"))</f>
        <v>Mid</v>
      </c>
    </row>
    <row r="497" spans="2:21" x14ac:dyDescent="0.3">
      <c r="B497" s="8" t="s">
        <v>547</v>
      </c>
      <c r="C497" s="8" t="s">
        <v>554</v>
      </c>
      <c r="D497" s="9">
        <v>40476</v>
      </c>
      <c r="E497" s="8">
        <v>7</v>
      </c>
      <c r="F497" s="8" t="s">
        <v>673</v>
      </c>
      <c r="G497" s="8">
        <v>0.39930555555555558</v>
      </c>
      <c r="H497" s="8">
        <v>0.59375</v>
      </c>
      <c r="I497" s="8" t="s">
        <v>674</v>
      </c>
      <c r="J497" s="8">
        <v>0.29097222222222224</v>
      </c>
      <c r="K497" s="10">
        <v>-4827</v>
      </c>
      <c r="L497" s="8">
        <v>0.32430555555555557</v>
      </c>
      <c r="M497" s="8" t="s">
        <v>675</v>
      </c>
      <c r="N497" s="8">
        <v>5.8333333333333327E-2</v>
      </c>
      <c r="O497" s="8">
        <v>48</v>
      </c>
      <c r="P497" s="8">
        <v>265680</v>
      </c>
      <c r="Q497" s="8">
        <f>YEAR(Table13[[#This Row],[release_date]])</f>
        <v>2010</v>
      </c>
      <c r="R497" s="8">
        <f>ROUND(Table13[[#This Row],[duration_ms]]/60000,2)</f>
        <v>4.43</v>
      </c>
      <c r="S497" s="8" t="str">
        <f>IF(Table13[[#This Row],[valence]]&gt;=0.6, "Happy", IF(Table13[[#This Row],[valence]]&gt;=0.4, "Neutral", "Sad"))</f>
        <v>Sad</v>
      </c>
      <c r="T497" s="8" t="str">
        <f>IF(Table13[[#This Row],[energy]]&gt;=0.7, "High Energy", IF(Table13[[#This Row],[energy]]&gt;=0.4, "Medium Energy", "Low Energy"))</f>
        <v>Medium Energy</v>
      </c>
      <c r="U497" s="17" t="str">
        <f>IF(Table13[[#This Row],[popularity]]&gt;70, "Popular", IF(Table13[[#This Row],[popularity]]&lt;40, "Less Popular", "Mid"))</f>
        <v>Mid</v>
      </c>
    </row>
    <row r="498" spans="2:21" x14ac:dyDescent="0.3">
      <c r="B498" s="8" t="s">
        <v>516</v>
      </c>
      <c r="C498" s="8" t="s">
        <v>554</v>
      </c>
      <c r="D498" s="9">
        <v>40476</v>
      </c>
      <c r="E498" s="8">
        <v>8</v>
      </c>
      <c r="F498" s="8">
        <v>0.5756944444444444</v>
      </c>
      <c r="G498" s="8">
        <v>0.49652777777777773</v>
      </c>
      <c r="H498" s="8">
        <v>0.21388888888888891</v>
      </c>
      <c r="I498" s="11">
        <v>0</v>
      </c>
      <c r="J498" s="11">
        <v>1.1111111111111112E-2</v>
      </c>
      <c r="K498" s="10">
        <v>-8829</v>
      </c>
      <c r="L498" s="8">
        <v>0.21180555555555555</v>
      </c>
      <c r="M498" s="10">
        <v>124899</v>
      </c>
      <c r="N498" s="8">
        <v>0.37986111111111115</v>
      </c>
      <c r="O498" s="8">
        <v>48</v>
      </c>
      <c r="P498" s="8">
        <v>290480</v>
      </c>
      <c r="Q498" s="8">
        <f>YEAR(Table13[[#This Row],[release_date]])</f>
        <v>2010</v>
      </c>
      <c r="R498" s="8">
        <f>ROUND(Table13[[#This Row],[duration_ms]]/60000,2)</f>
        <v>4.84</v>
      </c>
      <c r="S498" s="8" t="str">
        <f>IF(Table13[[#This Row],[valence]]&gt;=0.6, "Happy", IF(Table13[[#This Row],[valence]]&gt;=0.4, "Neutral", "Sad"))</f>
        <v>Sad</v>
      </c>
      <c r="T498" s="8" t="str">
        <f>IF(Table13[[#This Row],[energy]]&gt;=0.7, "High Energy", IF(Table13[[#This Row],[energy]]&gt;=0.4, "Medium Energy", "Low Energy"))</f>
        <v>Low Energy</v>
      </c>
      <c r="U498" s="17" t="str">
        <f>IF(Table13[[#This Row],[popularity]]&gt;70, "Popular", IF(Table13[[#This Row],[popularity]]&lt;40, "Less Popular", "Mid"))</f>
        <v>Mid</v>
      </c>
    </row>
    <row r="499" spans="2:21" x14ac:dyDescent="0.3">
      <c r="B499" s="8" t="s">
        <v>524</v>
      </c>
      <c r="C499" s="8" t="s">
        <v>554</v>
      </c>
      <c r="D499" s="9">
        <v>40476</v>
      </c>
      <c r="E499" s="8">
        <v>9</v>
      </c>
      <c r="F499" s="8">
        <v>0.49722222222222223</v>
      </c>
      <c r="G499" s="8">
        <v>0.37152777777777773</v>
      </c>
      <c r="H499" s="8">
        <v>0.4291666666666667</v>
      </c>
      <c r="I499" s="8" t="s">
        <v>676</v>
      </c>
      <c r="J499" s="8">
        <v>0.11736111111111112</v>
      </c>
      <c r="K499" s="10">
        <v>-3913</v>
      </c>
      <c r="L499" s="8">
        <v>0.18958333333333333</v>
      </c>
      <c r="M499" s="10">
        <v>81975</v>
      </c>
      <c r="N499" s="8">
        <v>0.15833333333333333</v>
      </c>
      <c r="O499" s="8">
        <v>71</v>
      </c>
      <c r="P499" s="8">
        <v>352200</v>
      </c>
      <c r="Q499" s="8">
        <f>YEAR(Table13[[#This Row],[release_date]])</f>
        <v>2010</v>
      </c>
      <c r="R499" s="8">
        <f>ROUND(Table13[[#This Row],[duration_ms]]/60000,2)</f>
        <v>5.87</v>
      </c>
      <c r="S499" s="8" t="str">
        <f>IF(Table13[[#This Row],[valence]]&gt;=0.6, "Happy", IF(Table13[[#This Row],[valence]]&gt;=0.4, "Neutral", "Sad"))</f>
        <v>Sad</v>
      </c>
      <c r="T499" s="8" t="str">
        <f>IF(Table13[[#This Row],[energy]]&gt;=0.7, "High Energy", IF(Table13[[#This Row],[energy]]&gt;=0.4, "Medium Energy", "Low Energy"))</f>
        <v>Medium Energy</v>
      </c>
      <c r="U499" s="17" t="str">
        <f>IF(Table13[[#This Row],[popularity]]&gt;70, "Popular", IF(Table13[[#This Row],[popularity]]&lt;40, "Less Popular", "Mid"))</f>
        <v>Popular</v>
      </c>
    </row>
    <row r="500" spans="2:21" x14ac:dyDescent="0.3">
      <c r="B500" s="8" t="s">
        <v>677</v>
      </c>
      <c r="C500" s="8" t="s">
        <v>554</v>
      </c>
      <c r="D500" s="9">
        <v>40476</v>
      </c>
      <c r="E500" s="8">
        <v>10</v>
      </c>
      <c r="F500" s="8">
        <v>0.11597222222222221</v>
      </c>
      <c r="G500" s="8">
        <v>0.36041666666666666</v>
      </c>
      <c r="H500" s="8">
        <v>0.63680555555555551</v>
      </c>
      <c r="I500" s="8" t="s">
        <v>419</v>
      </c>
      <c r="J500" s="8">
        <v>0.24930555555555556</v>
      </c>
      <c r="K500" s="10">
        <v>-3185</v>
      </c>
      <c r="L500" s="8">
        <v>0.61597222222222225</v>
      </c>
      <c r="M500" s="10">
        <v>145882</v>
      </c>
      <c r="N500" s="8">
        <v>0.45277777777777778</v>
      </c>
      <c r="O500" s="8">
        <v>54</v>
      </c>
      <c r="P500" s="8">
        <v>217173</v>
      </c>
      <c r="Q500" s="8">
        <f>YEAR(Table13[[#This Row],[release_date]])</f>
        <v>2010</v>
      </c>
      <c r="R500" s="8">
        <f>ROUND(Table13[[#This Row],[duration_ms]]/60000,2)</f>
        <v>3.62</v>
      </c>
      <c r="S500" s="8" t="str">
        <f>IF(Table13[[#This Row],[valence]]&gt;=0.6, "Happy", IF(Table13[[#This Row],[valence]]&gt;=0.4, "Neutral", "Sad"))</f>
        <v>Neutral</v>
      </c>
      <c r="T500" s="8" t="str">
        <f>IF(Table13[[#This Row],[energy]]&gt;=0.7, "High Energy", IF(Table13[[#This Row],[energy]]&gt;=0.4, "Medium Energy", "Low Energy"))</f>
        <v>Medium Energy</v>
      </c>
      <c r="U500" s="17" t="str">
        <f>IF(Table13[[#This Row],[popularity]]&gt;70, "Popular", IF(Table13[[#This Row],[popularity]]&lt;40, "Less Popular", "Mid"))</f>
        <v>Mid</v>
      </c>
    </row>
    <row r="501" spans="2:21" x14ac:dyDescent="0.3">
      <c r="B501" s="8" t="s">
        <v>678</v>
      </c>
      <c r="C501" s="8" t="s">
        <v>554</v>
      </c>
      <c r="D501" s="9">
        <v>40476</v>
      </c>
      <c r="E501" s="8">
        <v>11</v>
      </c>
      <c r="F501" s="8">
        <v>0.14027777777777778</v>
      </c>
      <c r="G501" s="8">
        <v>0.3840277777777778</v>
      </c>
      <c r="H501" s="8">
        <v>0.41944444444444445</v>
      </c>
      <c r="I501" s="11">
        <v>0</v>
      </c>
      <c r="J501" s="8">
        <v>8.6805555555555566E-2</v>
      </c>
      <c r="K501" s="10">
        <v>-5295</v>
      </c>
      <c r="L501" s="8">
        <v>0.17916666666666667</v>
      </c>
      <c r="M501" s="10">
        <v>133989</v>
      </c>
      <c r="N501" s="8">
        <v>0.12916666666666668</v>
      </c>
      <c r="O501" s="8">
        <v>38</v>
      </c>
      <c r="P501" s="8">
        <v>302266</v>
      </c>
      <c r="Q501" s="8">
        <f>YEAR(Table13[[#This Row],[release_date]])</f>
        <v>2010</v>
      </c>
      <c r="R501" s="8">
        <f>ROUND(Table13[[#This Row],[duration_ms]]/60000,2)</f>
        <v>5.04</v>
      </c>
      <c r="S501" s="8" t="str">
        <f>IF(Table13[[#This Row],[valence]]&gt;=0.6, "Happy", IF(Table13[[#This Row],[valence]]&gt;=0.4, "Neutral", "Sad"))</f>
        <v>Sad</v>
      </c>
      <c r="T501" s="8" t="str">
        <f>IF(Table13[[#This Row],[energy]]&gt;=0.7, "High Energy", IF(Table13[[#This Row],[energy]]&gt;=0.4, "Medium Energy", "Low Energy"))</f>
        <v>Medium Energy</v>
      </c>
      <c r="U501" s="17" t="str">
        <f>IF(Table13[[#This Row],[popularity]]&gt;70, "Popular", IF(Table13[[#This Row],[popularity]]&lt;40, "Less Popular", "Mid"))</f>
        <v>Less Popular</v>
      </c>
    </row>
    <row r="502" spans="2:21" x14ac:dyDescent="0.3">
      <c r="B502" s="8" t="s">
        <v>515</v>
      </c>
      <c r="C502" s="8" t="s">
        <v>554</v>
      </c>
      <c r="D502" s="9">
        <v>40476</v>
      </c>
      <c r="E502" s="8">
        <v>12</v>
      </c>
      <c r="F502" s="8">
        <v>0.53402777777777777</v>
      </c>
      <c r="G502" s="8">
        <v>0.30138888888888887</v>
      </c>
      <c r="H502" s="8">
        <v>0.65555555555555556</v>
      </c>
      <c r="I502" s="11">
        <v>0</v>
      </c>
      <c r="J502" s="8">
        <v>0.10486111111111111</v>
      </c>
      <c r="K502" s="10">
        <v>-2641</v>
      </c>
      <c r="L502" s="8">
        <v>0.40347222222222223</v>
      </c>
      <c r="M502" s="14">
        <v>6.7513888888888891</v>
      </c>
      <c r="N502" s="8">
        <v>0.25069444444444444</v>
      </c>
      <c r="O502" s="8">
        <v>47</v>
      </c>
      <c r="P502" s="8">
        <v>242093</v>
      </c>
      <c r="Q502" s="8">
        <f>YEAR(Table13[[#This Row],[release_date]])</f>
        <v>2010</v>
      </c>
      <c r="R502" s="8">
        <f>ROUND(Table13[[#This Row],[duration_ms]]/60000,2)</f>
        <v>4.03</v>
      </c>
      <c r="S502" s="8" t="str">
        <f>IF(Table13[[#This Row],[valence]]&gt;=0.6, "Happy", IF(Table13[[#This Row],[valence]]&gt;=0.4, "Neutral", "Sad"))</f>
        <v>Sad</v>
      </c>
      <c r="T502" s="8" t="str">
        <f>IF(Table13[[#This Row],[energy]]&gt;=0.7, "High Energy", IF(Table13[[#This Row],[energy]]&gt;=0.4, "Medium Energy", "Low Energy"))</f>
        <v>Medium Energy</v>
      </c>
      <c r="U502" s="17" t="str">
        <f>IF(Table13[[#This Row],[popularity]]&gt;70, "Popular", IF(Table13[[#This Row],[popularity]]&lt;40, "Less Popular", "Mid"))</f>
        <v>Mid</v>
      </c>
    </row>
    <row r="503" spans="2:21" x14ac:dyDescent="0.3">
      <c r="B503" s="8" t="s">
        <v>679</v>
      </c>
      <c r="C503" s="8" t="s">
        <v>554</v>
      </c>
      <c r="D503" s="9">
        <v>40476</v>
      </c>
      <c r="E503" s="8">
        <v>13</v>
      </c>
      <c r="F503" s="8">
        <v>0.40347222222222223</v>
      </c>
      <c r="G503" s="8">
        <v>0.24930555555555556</v>
      </c>
      <c r="H503" s="8">
        <v>0.22847222222222222</v>
      </c>
      <c r="I503" s="8" t="s">
        <v>680</v>
      </c>
      <c r="J503" s="8">
        <v>0.67986111111111114</v>
      </c>
      <c r="K503" s="10">
        <v>-9531</v>
      </c>
      <c r="L503" s="8">
        <v>0.20347222222222225</v>
      </c>
      <c r="M503" s="10">
        <v>84358</v>
      </c>
      <c r="N503" s="8">
        <v>0.14444444444444446</v>
      </c>
      <c r="O503" s="8">
        <v>49</v>
      </c>
      <c r="P503" s="8">
        <v>367146</v>
      </c>
      <c r="Q503" s="8">
        <f>YEAR(Table13[[#This Row],[release_date]])</f>
        <v>2010</v>
      </c>
      <c r="R503" s="8">
        <f>ROUND(Table13[[#This Row],[duration_ms]]/60000,2)</f>
        <v>6.12</v>
      </c>
      <c r="S503" s="8" t="str">
        <f>IF(Table13[[#This Row],[valence]]&gt;=0.6, "Happy", IF(Table13[[#This Row],[valence]]&gt;=0.4, "Neutral", "Sad"))</f>
        <v>Sad</v>
      </c>
      <c r="T503" s="8" t="str">
        <f>IF(Table13[[#This Row],[energy]]&gt;=0.7, "High Energy", IF(Table13[[#This Row],[energy]]&gt;=0.4, "Medium Energy", "Low Energy"))</f>
        <v>Low Energy</v>
      </c>
      <c r="U503" s="17" t="str">
        <f>IF(Table13[[#This Row],[popularity]]&gt;70, "Popular", IF(Table13[[#This Row],[popularity]]&lt;40, "Less Popular", "Mid"))</f>
        <v>Mid</v>
      </c>
    </row>
    <row r="504" spans="2:21" x14ac:dyDescent="0.3">
      <c r="B504" s="8" t="s">
        <v>681</v>
      </c>
      <c r="C504" s="8" t="s">
        <v>554</v>
      </c>
      <c r="D504" s="9">
        <v>40476</v>
      </c>
      <c r="E504" s="8">
        <v>14</v>
      </c>
      <c r="F504" s="8">
        <v>0.29583333333333334</v>
      </c>
      <c r="G504" s="8">
        <v>0.28611111111111109</v>
      </c>
      <c r="H504" s="8">
        <v>0.47361111111111115</v>
      </c>
      <c r="I504" s="8" t="s">
        <v>682</v>
      </c>
      <c r="J504" s="8">
        <v>7.3611111111111113E-2</v>
      </c>
      <c r="K504" s="10">
        <v>-4319</v>
      </c>
      <c r="L504" s="8">
        <v>0.23541666666666669</v>
      </c>
      <c r="M504" s="10">
        <v>203959</v>
      </c>
      <c r="N504" s="8">
        <v>0.10138888888888888</v>
      </c>
      <c r="O504" s="8">
        <v>51</v>
      </c>
      <c r="P504" s="8">
        <v>317960</v>
      </c>
      <c r="Q504" s="8">
        <f>YEAR(Table13[[#This Row],[release_date]])</f>
        <v>2010</v>
      </c>
      <c r="R504" s="8">
        <f>ROUND(Table13[[#This Row],[duration_ms]]/60000,2)</f>
        <v>5.3</v>
      </c>
      <c r="S504" s="8" t="str">
        <f>IF(Table13[[#This Row],[valence]]&gt;=0.6, "Happy", IF(Table13[[#This Row],[valence]]&gt;=0.4, "Neutral", "Sad"))</f>
        <v>Sad</v>
      </c>
      <c r="T504" s="8" t="str">
        <f>IF(Table13[[#This Row],[energy]]&gt;=0.7, "High Energy", IF(Table13[[#This Row],[energy]]&gt;=0.4, "Medium Energy", "Low Energy"))</f>
        <v>Medium Energy</v>
      </c>
      <c r="U504" s="17" t="str">
        <f>IF(Table13[[#This Row],[popularity]]&gt;70, "Popular", IF(Table13[[#This Row],[popularity]]&lt;40, "Less Popular", "Mid"))</f>
        <v>Mid</v>
      </c>
    </row>
    <row r="505" spans="2:21" x14ac:dyDescent="0.3">
      <c r="B505" s="8" t="s">
        <v>666</v>
      </c>
      <c r="C505" s="8" t="s">
        <v>683</v>
      </c>
      <c r="D505" s="9">
        <v>40179</v>
      </c>
      <c r="E505" s="8">
        <v>1</v>
      </c>
      <c r="F505" s="8" t="s">
        <v>667</v>
      </c>
      <c r="G505" s="8">
        <v>0.48333333333333334</v>
      </c>
      <c r="H505" s="8">
        <v>0.53333333333333333</v>
      </c>
      <c r="I505" s="8" t="s">
        <v>668</v>
      </c>
      <c r="J505" s="8">
        <v>7.013888888888889E-2</v>
      </c>
      <c r="K505" s="10">
        <v>-3863</v>
      </c>
      <c r="L505" s="8">
        <v>0.21388888888888891</v>
      </c>
      <c r="M505" s="14">
        <v>5.0451388888888884</v>
      </c>
      <c r="N505" s="8">
        <v>0.48055555555555557</v>
      </c>
      <c r="O505" s="8">
        <v>42</v>
      </c>
      <c r="P505" s="8">
        <v>230546</v>
      </c>
      <c r="Q505" s="8">
        <f>YEAR(Table13[[#This Row],[release_date]])</f>
        <v>2010</v>
      </c>
      <c r="R505" s="8">
        <f>ROUND(Table13[[#This Row],[duration_ms]]/60000,2)</f>
        <v>3.84</v>
      </c>
      <c r="S505" s="8" t="str">
        <f>IF(Table13[[#This Row],[valence]]&gt;=0.6, "Happy", IF(Table13[[#This Row],[valence]]&gt;=0.4, "Neutral", "Sad"))</f>
        <v>Neutral</v>
      </c>
      <c r="T505" s="8" t="str">
        <f>IF(Table13[[#This Row],[energy]]&gt;=0.7, "High Energy", IF(Table13[[#This Row],[energy]]&gt;=0.4, "Medium Energy", "Low Energy"))</f>
        <v>Medium Energy</v>
      </c>
      <c r="U505" s="17" t="str">
        <f>IF(Table13[[#This Row],[popularity]]&gt;70, "Popular", IF(Table13[[#This Row],[popularity]]&lt;40, "Less Popular", "Mid"))</f>
        <v>Mid</v>
      </c>
    </row>
    <row r="506" spans="2:21" x14ac:dyDescent="0.3">
      <c r="B506" s="8" t="s">
        <v>510</v>
      </c>
      <c r="C506" s="8" t="s">
        <v>683</v>
      </c>
      <c r="D506" s="9">
        <v>40179</v>
      </c>
      <c r="E506" s="8">
        <v>2</v>
      </c>
      <c r="F506" s="8">
        <v>0.26874999999999999</v>
      </c>
      <c r="G506" s="8">
        <v>0.42222222222222222</v>
      </c>
      <c r="H506" s="8">
        <v>0.54513888888888895</v>
      </c>
      <c r="I506" s="11">
        <v>0</v>
      </c>
      <c r="J506" s="8">
        <v>0.10972222222222222</v>
      </c>
      <c r="K506" s="10">
        <v>-2976</v>
      </c>
      <c r="L506" s="8">
        <v>0.21597222222222223</v>
      </c>
      <c r="M506" s="10">
        <v>114985</v>
      </c>
      <c r="N506" s="8">
        <v>0.26111111111111113</v>
      </c>
      <c r="O506" s="8">
        <v>52</v>
      </c>
      <c r="P506" s="8">
        <v>260946</v>
      </c>
      <c r="Q506" s="8">
        <f>YEAR(Table13[[#This Row],[release_date]])</f>
        <v>2010</v>
      </c>
      <c r="R506" s="8">
        <f>ROUND(Table13[[#This Row],[duration_ms]]/60000,2)</f>
        <v>4.3499999999999996</v>
      </c>
      <c r="S506" s="8" t="str">
        <f>IF(Table13[[#This Row],[valence]]&gt;=0.6, "Happy", IF(Table13[[#This Row],[valence]]&gt;=0.4, "Neutral", "Sad"))</f>
        <v>Sad</v>
      </c>
      <c r="T506" s="8" t="str">
        <f>IF(Table13[[#This Row],[energy]]&gt;=0.7, "High Energy", IF(Table13[[#This Row],[energy]]&gt;=0.4, "Medium Energy", "Low Energy"))</f>
        <v>Medium Energy</v>
      </c>
      <c r="U506" s="17" t="str">
        <f>IF(Table13[[#This Row],[popularity]]&gt;70, "Popular", IF(Table13[[#This Row],[popularity]]&lt;40, "Less Popular", "Mid"))</f>
        <v>Mid</v>
      </c>
    </row>
    <row r="507" spans="2:21" x14ac:dyDescent="0.3">
      <c r="B507" s="8" t="s">
        <v>669</v>
      </c>
      <c r="C507" s="8" t="s">
        <v>683</v>
      </c>
      <c r="D507" s="9">
        <v>40179</v>
      </c>
      <c r="E507" s="8">
        <v>3</v>
      </c>
      <c r="F507" s="8">
        <v>0.14027777777777778</v>
      </c>
      <c r="G507" s="8">
        <v>0.35902777777777778</v>
      </c>
      <c r="H507" s="8">
        <v>0.42083333333333334</v>
      </c>
      <c r="I507" s="11">
        <v>0</v>
      </c>
      <c r="J507" s="8">
        <v>0.22500000000000001</v>
      </c>
      <c r="K507" s="10">
        <v>-5797</v>
      </c>
      <c r="L507" s="8">
        <v>0.20069444444444443</v>
      </c>
      <c r="M507" s="10">
        <v>141929</v>
      </c>
      <c r="N507" s="8">
        <v>0.20555555555555557</v>
      </c>
      <c r="O507" s="8">
        <v>63</v>
      </c>
      <c r="P507" s="8">
        <v>293040</v>
      </c>
      <c r="Q507" s="8">
        <f>YEAR(Table13[[#This Row],[release_date]])</f>
        <v>2010</v>
      </c>
      <c r="R507" s="8">
        <f>ROUND(Table13[[#This Row],[duration_ms]]/60000,2)</f>
        <v>4.88</v>
      </c>
      <c r="S507" s="8" t="str">
        <f>IF(Table13[[#This Row],[valence]]&gt;=0.6, "Happy", IF(Table13[[#This Row],[valence]]&gt;=0.4, "Neutral", "Sad"))</f>
        <v>Sad</v>
      </c>
      <c r="T507" s="8" t="str">
        <f>IF(Table13[[#This Row],[energy]]&gt;=0.7, "High Energy", IF(Table13[[#This Row],[energy]]&gt;=0.4, "Medium Energy", "Low Energy"))</f>
        <v>Medium Energy</v>
      </c>
      <c r="U507" s="17" t="str">
        <f>IF(Table13[[#This Row],[popularity]]&gt;70, "Popular", IF(Table13[[#This Row],[popularity]]&lt;40, "Less Popular", "Mid"))</f>
        <v>Mid</v>
      </c>
    </row>
    <row r="508" spans="2:21" x14ac:dyDescent="0.3">
      <c r="B508" s="8" t="s">
        <v>554</v>
      </c>
      <c r="C508" s="8" t="s">
        <v>683</v>
      </c>
      <c r="D508" s="9">
        <v>40179</v>
      </c>
      <c r="E508" s="8">
        <v>4</v>
      </c>
      <c r="F508" s="8">
        <v>7.013888888888889E-2</v>
      </c>
      <c r="G508" s="8">
        <v>0.4916666666666667</v>
      </c>
      <c r="H508" s="8">
        <v>0.41736111111111113</v>
      </c>
      <c r="I508" s="11">
        <v>0</v>
      </c>
      <c r="J508" s="8">
        <v>0.67986111111111114</v>
      </c>
      <c r="K508" s="8" t="s">
        <v>670</v>
      </c>
      <c r="L508" s="8">
        <v>0.21249999999999999</v>
      </c>
      <c r="M508" s="10">
        <v>118962</v>
      </c>
      <c r="N508" s="8">
        <v>0.51527777777777783</v>
      </c>
      <c r="O508" s="8">
        <v>51</v>
      </c>
      <c r="P508" s="8">
        <v>240773</v>
      </c>
      <c r="Q508" s="8">
        <f>YEAR(Table13[[#This Row],[release_date]])</f>
        <v>2010</v>
      </c>
      <c r="R508" s="8">
        <f>ROUND(Table13[[#This Row],[duration_ms]]/60000,2)</f>
        <v>4.01</v>
      </c>
      <c r="S508" s="8" t="str">
        <f>IF(Table13[[#This Row],[valence]]&gt;=0.6, "Happy", IF(Table13[[#This Row],[valence]]&gt;=0.4, "Neutral", "Sad"))</f>
        <v>Neutral</v>
      </c>
      <c r="T508" s="8" t="str">
        <f>IF(Table13[[#This Row],[energy]]&gt;=0.7, "High Energy", IF(Table13[[#This Row],[energy]]&gt;=0.4, "Medium Energy", "Low Energy"))</f>
        <v>Medium Energy</v>
      </c>
      <c r="U508" s="17" t="str">
        <f>IF(Table13[[#This Row],[popularity]]&gt;70, "Popular", IF(Table13[[#This Row],[popularity]]&lt;40, "Less Popular", "Mid"))</f>
        <v>Mid</v>
      </c>
    </row>
    <row r="509" spans="2:21" x14ac:dyDescent="0.3">
      <c r="B509" s="8" t="s">
        <v>671</v>
      </c>
      <c r="C509" s="8" t="s">
        <v>683</v>
      </c>
      <c r="D509" s="9">
        <v>40179</v>
      </c>
      <c r="E509" s="8">
        <v>5</v>
      </c>
      <c r="F509" s="8">
        <v>0.12708333333333333</v>
      </c>
      <c r="G509" s="8">
        <v>0.40486111111111112</v>
      </c>
      <c r="H509" s="8">
        <v>0.32500000000000001</v>
      </c>
      <c r="I509" s="8" t="s">
        <v>672</v>
      </c>
      <c r="J509" s="8">
        <v>7.7083333333333337E-2</v>
      </c>
      <c r="K509" s="10">
        <v>-5378</v>
      </c>
      <c r="L509" s="8">
        <v>0.19305555555555556</v>
      </c>
      <c r="M509" s="10">
        <v>119375</v>
      </c>
      <c r="N509" s="8">
        <v>8.7500000000000008E-2</v>
      </c>
      <c r="O509" s="8">
        <v>46</v>
      </c>
      <c r="P509" s="8">
        <v>403887</v>
      </c>
      <c r="Q509" s="8">
        <f>YEAR(Table13[[#This Row],[release_date]])</f>
        <v>2010</v>
      </c>
      <c r="R509" s="8">
        <f>ROUND(Table13[[#This Row],[duration_ms]]/60000,2)</f>
        <v>6.73</v>
      </c>
      <c r="S509" s="8" t="str">
        <f>IF(Table13[[#This Row],[valence]]&gt;=0.6, "Happy", IF(Table13[[#This Row],[valence]]&gt;=0.4, "Neutral", "Sad"))</f>
        <v>Sad</v>
      </c>
      <c r="T509" s="8" t="str">
        <f>IF(Table13[[#This Row],[energy]]&gt;=0.7, "High Energy", IF(Table13[[#This Row],[energy]]&gt;=0.4, "Medium Energy", "Low Energy"))</f>
        <v>Low Energy</v>
      </c>
      <c r="U509" s="17" t="str">
        <f>IF(Table13[[#This Row],[popularity]]&gt;70, "Popular", IF(Table13[[#This Row],[popularity]]&lt;40, "Less Popular", "Mid"))</f>
        <v>Mid</v>
      </c>
    </row>
    <row r="510" spans="2:21" x14ac:dyDescent="0.3">
      <c r="B510" s="8" t="s">
        <v>501</v>
      </c>
      <c r="C510" s="8" t="s">
        <v>683</v>
      </c>
      <c r="D510" s="9">
        <v>40179</v>
      </c>
      <c r="E510" s="8">
        <v>6</v>
      </c>
      <c r="F510" s="8">
        <v>0.30902777777777779</v>
      </c>
      <c r="G510" s="11">
        <v>3.9583333333333331E-2</v>
      </c>
      <c r="H510" s="8">
        <v>0.51874999999999993</v>
      </c>
      <c r="I510" s="11">
        <v>0</v>
      </c>
      <c r="J510" s="8">
        <v>0.15208333333333332</v>
      </c>
      <c r="K510" s="10">
        <v>-3978</v>
      </c>
      <c r="L510" s="8">
        <v>0.29583333333333334</v>
      </c>
      <c r="M510" s="10">
        <v>164004</v>
      </c>
      <c r="N510" s="8">
        <v>0.56111111111111112</v>
      </c>
      <c r="O510" s="8">
        <v>55</v>
      </c>
      <c r="P510" s="8">
        <v>237746</v>
      </c>
      <c r="Q510" s="8">
        <f>YEAR(Table13[[#This Row],[release_date]])</f>
        <v>2010</v>
      </c>
      <c r="R510" s="8">
        <f>ROUND(Table13[[#This Row],[duration_ms]]/60000,2)</f>
        <v>3.96</v>
      </c>
      <c r="S510" s="8" t="str">
        <f>IF(Table13[[#This Row],[valence]]&gt;=0.6, "Happy", IF(Table13[[#This Row],[valence]]&gt;=0.4, "Neutral", "Sad"))</f>
        <v>Neutral</v>
      </c>
      <c r="T510" s="8" t="str">
        <f>IF(Table13[[#This Row],[energy]]&gt;=0.7, "High Energy", IF(Table13[[#This Row],[energy]]&gt;=0.4, "Medium Energy", "Low Energy"))</f>
        <v>Medium Energy</v>
      </c>
      <c r="U510" s="17" t="str">
        <f>IF(Table13[[#This Row],[popularity]]&gt;70, "Popular", IF(Table13[[#This Row],[popularity]]&lt;40, "Less Popular", "Mid"))</f>
        <v>Mid</v>
      </c>
    </row>
    <row r="511" spans="2:21" x14ac:dyDescent="0.3">
      <c r="B511" s="8" t="s">
        <v>547</v>
      </c>
      <c r="C511" s="8" t="s">
        <v>683</v>
      </c>
      <c r="D511" s="9">
        <v>40179</v>
      </c>
      <c r="E511" s="8">
        <v>7</v>
      </c>
      <c r="F511" s="8" t="s">
        <v>673</v>
      </c>
      <c r="G511" s="8">
        <v>0.39930555555555558</v>
      </c>
      <c r="H511" s="8">
        <v>0.59375</v>
      </c>
      <c r="I511" s="8" t="s">
        <v>674</v>
      </c>
      <c r="J511" s="8">
        <v>0.29097222222222224</v>
      </c>
      <c r="K511" s="10">
        <v>-4827</v>
      </c>
      <c r="L511" s="8">
        <v>0.32430555555555557</v>
      </c>
      <c r="M511" s="8" t="s">
        <v>675</v>
      </c>
      <c r="N511" s="8">
        <v>5.8333333333333327E-2</v>
      </c>
      <c r="O511" s="8">
        <v>40</v>
      </c>
      <c r="P511" s="8">
        <v>265636</v>
      </c>
      <c r="Q511" s="8">
        <f>YEAR(Table13[[#This Row],[release_date]])</f>
        <v>2010</v>
      </c>
      <c r="R511" s="8">
        <f>ROUND(Table13[[#This Row],[duration_ms]]/60000,2)</f>
        <v>4.43</v>
      </c>
      <c r="S511" s="8" t="str">
        <f>IF(Table13[[#This Row],[valence]]&gt;=0.6, "Happy", IF(Table13[[#This Row],[valence]]&gt;=0.4, "Neutral", "Sad"))</f>
        <v>Sad</v>
      </c>
      <c r="T511" s="8" t="str">
        <f>IF(Table13[[#This Row],[energy]]&gt;=0.7, "High Energy", IF(Table13[[#This Row],[energy]]&gt;=0.4, "Medium Energy", "Low Energy"))</f>
        <v>Medium Energy</v>
      </c>
      <c r="U511" s="17" t="str">
        <f>IF(Table13[[#This Row],[popularity]]&gt;70, "Popular", IF(Table13[[#This Row],[popularity]]&lt;40, "Less Popular", "Mid"))</f>
        <v>Mid</v>
      </c>
    </row>
    <row r="512" spans="2:21" x14ac:dyDescent="0.3">
      <c r="B512" s="8" t="s">
        <v>516</v>
      </c>
      <c r="C512" s="8" t="s">
        <v>683</v>
      </c>
      <c r="D512" s="9">
        <v>40179</v>
      </c>
      <c r="E512" s="8">
        <v>8</v>
      </c>
      <c r="F512" s="8">
        <v>0.5756944444444444</v>
      </c>
      <c r="G512" s="8">
        <v>0.49652777777777773</v>
      </c>
      <c r="H512" s="8">
        <v>0.21388888888888891</v>
      </c>
      <c r="I512" s="11">
        <v>0</v>
      </c>
      <c r="J512" s="11">
        <v>1.1111111111111112E-2</v>
      </c>
      <c r="K512" s="10">
        <v>-8829</v>
      </c>
      <c r="L512" s="8">
        <v>0.21180555555555555</v>
      </c>
      <c r="M512" s="10">
        <v>124899</v>
      </c>
      <c r="N512" s="8">
        <v>0.37986111111111115</v>
      </c>
      <c r="O512" s="8">
        <v>44</v>
      </c>
      <c r="P512" s="8">
        <v>290480</v>
      </c>
      <c r="Q512" s="8">
        <f>YEAR(Table13[[#This Row],[release_date]])</f>
        <v>2010</v>
      </c>
      <c r="R512" s="8">
        <f>ROUND(Table13[[#This Row],[duration_ms]]/60000,2)</f>
        <v>4.84</v>
      </c>
      <c r="S512" s="8" t="str">
        <f>IF(Table13[[#This Row],[valence]]&gt;=0.6, "Happy", IF(Table13[[#This Row],[valence]]&gt;=0.4, "Neutral", "Sad"))</f>
        <v>Sad</v>
      </c>
      <c r="T512" s="8" t="str">
        <f>IF(Table13[[#This Row],[energy]]&gt;=0.7, "High Energy", IF(Table13[[#This Row],[energy]]&gt;=0.4, "Medium Energy", "Low Energy"))</f>
        <v>Low Energy</v>
      </c>
      <c r="U512" s="17" t="str">
        <f>IF(Table13[[#This Row],[popularity]]&gt;70, "Popular", IF(Table13[[#This Row],[popularity]]&lt;40, "Less Popular", "Mid"))</f>
        <v>Mid</v>
      </c>
    </row>
    <row r="513" spans="2:21" x14ac:dyDescent="0.3">
      <c r="B513" s="8" t="s">
        <v>524</v>
      </c>
      <c r="C513" s="8" t="s">
        <v>683</v>
      </c>
      <c r="D513" s="9">
        <v>40179</v>
      </c>
      <c r="E513" s="8">
        <v>9</v>
      </c>
      <c r="F513" s="8">
        <v>0.49722222222222223</v>
      </c>
      <c r="G513" s="8">
        <v>0.37152777777777773</v>
      </c>
      <c r="H513" s="8">
        <v>0.4291666666666667</v>
      </c>
      <c r="I513" s="8" t="s">
        <v>676</v>
      </c>
      <c r="J513" s="8">
        <v>0.11736111111111112</v>
      </c>
      <c r="K513" s="10">
        <v>-3913</v>
      </c>
      <c r="L513" s="8">
        <v>0.18958333333333333</v>
      </c>
      <c r="M513" s="10">
        <v>81975</v>
      </c>
      <c r="N513" s="8">
        <v>0.15833333333333333</v>
      </c>
      <c r="O513" s="8">
        <v>71</v>
      </c>
      <c r="P513" s="8">
        <v>352200</v>
      </c>
      <c r="Q513" s="8">
        <f>YEAR(Table13[[#This Row],[release_date]])</f>
        <v>2010</v>
      </c>
      <c r="R513" s="8">
        <f>ROUND(Table13[[#This Row],[duration_ms]]/60000,2)</f>
        <v>5.87</v>
      </c>
      <c r="S513" s="8" t="str">
        <f>IF(Table13[[#This Row],[valence]]&gt;=0.6, "Happy", IF(Table13[[#This Row],[valence]]&gt;=0.4, "Neutral", "Sad"))</f>
        <v>Sad</v>
      </c>
      <c r="T513" s="8" t="str">
        <f>IF(Table13[[#This Row],[energy]]&gt;=0.7, "High Energy", IF(Table13[[#This Row],[energy]]&gt;=0.4, "Medium Energy", "Low Energy"))</f>
        <v>Medium Energy</v>
      </c>
      <c r="U513" s="17" t="str">
        <f>IF(Table13[[#This Row],[popularity]]&gt;70, "Popular", IF(Table13[[#This Row],[popularity]]&lt;40, "Less Popular", "Mid"))</f>
        <v>Popular</v>
      </c>
    </row>
    <row r="514" spans="2:21" x14ac:dyDescent="0.3">
      <c r="B514" s="8" t="s">
        <v>677</v>
      </c>
      <c r="C514" s="8" t="s">
        <v>683</v>
      </c>
      <c r="D514" s="9">
        <v>40179</v>
      </c>
      <c r="E514" s="8">
        <v>10</v>
      </c>
      <c r="F514" s="8">
        <v>0.11597222222222221</v>
      </c>
      <c r="G514" s="8">
        <v>0.36041666666666666</v>
      </c>
      <c r="H514" s="8">
        <v>0.63680555555555551</v>
      </c>
      <c r="I514" s="8" t="s">
        <v>419</v>
      </c>
      <c r="J514" s="8">
        <v>0.24930555555555556</v>
      </c>
      <c r="K514" s="10">
        <v>-3185</v>
      </c>
      <c r="L514" s="8">
        <v>0.61597222222222225</v>
      </c>
      <c r="M514" s="10">
        <v>145882</v>
      </c>
      <c r="N514" s="8">
        <v>0.45277777777777778</v>
      </c>
      <c r="O514" s="8">
        <v>54</v>
      </c>
      <c r="P514" s="8">
        <v>217173</v>
      </c>
      <c r="Q514" s="8">
        <f>YEAR(Table13[[#This Row],[release_date]])</f>
        <v>2010</v>
      </c>
      <c r="R514" s="8">
        <f>ROUND(Table13[[#This Row],[duration_ms]]/60000,2)</f>
        <v>3.62</v>
      </c>
      <c r="S514" s="8" t="str">
        <f>IF(Table13[[#This Row],[valence]]&gt;=0.6, "Happy", IF(Table13[[#This Row],[valence]]&gt;=0.4, "Neutral", "Sad"))</f>
        <v>Neutral</v>
      </c>
      <c r="T514" s="8" t="str">
        <f>IF(Table13[[#This Row],[energy]]&gt;=0.7, "High Energy", IF(Table13[[#This Row],[energy]]&gt;=0.4, "Medium Energy", "Low Energy"))</f>
        <v>Medium Energy</v>
      </c>
      <c r="U514" s="17" t="str">
        <f>IF(Table13[[#This Row],[popularity]]&gt;70, "Popular", IF(Table13[[#This Row],[popularity]]&lt;40, "Less Popular", "Mid"))</f>
        <v>Mid</v>
      </c>
    </row>
    <row r="515" spans="2:21" x14ac:dyDescent="0.3">
      <c r="B515" s="8" t="s">
        <v>678</v>
      </c>
      <c r="C515" s="8" t="s">
        <v>683</v>
      </c>
      <c r="D515" s="9">
        <v>40179</v>
      </c>
      <c r="E515" s="8">
        <v>11</v>
      </c>
      <c r="F515" s="8">
        <v>0.14027777777777778</v>
      </c>
      <c r="G515" s="8">
        <v>0.3840277777777778</v>
      </c>
      <c r="H515" s="8">
        <v>0.41944444444444445</v>
      </c>
      <c r="I515" s="11">
        <v>0</v>
      </c>
      <c r="J515" s="8">
        <v>8.6805555555555566E-2</v>
      </c>
      <c r="K515" s="10">
        <v>-5295</v>
      </c>
      <c r="L515" s="8">
        <v>0.17916666666666667</v>
      </c>
      <c r="M515" s="10">
        <v>133989</v>
      </c>
      <c r="N515" s="8">
        <v>0.12916666666666668</v>
      </c>
      <c r="O515" s="8">
        <v>40</v>
      </c>
      <c r="P515" s="8">
        <v>302266</v>
      </c>
      <c r="Q515" s="8">
        <f>YEAR(Table13[[#This Row],[release_date]])</f>
        <v>2010</v>
      </c>
      <c r="R515" s="8">
        <f>ROUND(Table13[[#This Row],[duration_ms]]/60000,2)</f>
        <v>5.04</v>
      </c>
      <c r="S515" s="8" t="str">
        <f>IF(Table13[[#This Row],[valence]]&gt;=0.6, "Happy", IF(Table13[[#This Row],[valence]]&gt;=0.4, "Neutral", "Sad"))</f>
        <v>Sad</v>
      </c>
      <c r="T515" s="8" t="str">
        <f>IF(Table13[[#This Row],[energy]]&gt;=0.7, "High Energy", IF(Table13[[#This Row],[energy]]&gt;=0.4, "Medium Energy", "Low Energy"))</f>
        <v>Medium Energy</v>
      </c>
      <c r="U515" s="17" t="str">
        <f>IF(Table13[[#This Row],[popularity]]&gt;70, "Popular", IF(Table13[[#This Row],[popularity]]&lt;40, "Less Popular", "Mid"))</f>
        <v>Mid</v>
      </c>
    </row>
    <row r="516" spans="2:21" x14ac:dyDescent="0.3">
      <c r="B516" s="8" t="s">
        <v>515</v>
      </c>
      <c r="C516" s="8" t="s">
        <v>683</v>
      </c>
      <c r="D516" s="9">
        <v>40179</v>
      </c>
      <c r="E516" s="8">
        <v>12</v>
      </c>
      <c r="F516" s="8">
        <v>0.53402777777777777</v>
      </c>
      <c r="G516" s="8">
        <v>0.30138888888888887</v>
      </c>
      <c r="H516" s="8">
        <v>0.65555555555555556</v>
      </c>
      <c r="I516" s="11">
        <v>0</v>
      </c>
      <c r="J516" s="8">
        <v>0.10486111111111111</v>
      </c>
      <c r="K516" s="10">
        <v>-2641</v>
      </c>
      <c r="L516" s="8">
        <v>0.40347222222222223</v>
      </c>
      <c r="M516" s="14">
        <v>6.7513888888888891</v>
      </c>
      <c r="N516" s="8">
        <v>0.25069444444444444</v>
      </c>
      <c r="O516" s="8">
        <v>48</v>
      </c>
      <c r="P516" s="8">
        <v>242093</v>
      </c>
      <c r="Q516" s="8">
        <f>YEAR(Table13[[#This Row],[release_date]])</f>
        <v>2010</v>
      </c>
      <c r="R516" s="8">
        <f>ROUND(Table13[[#This Row],[duration_ms]]/60000,2)</f>
        <v>4.03</v>
      </c>
      <c r="S516" s="8" t="str">
        <f>IF(Table13[[#This Row],[valence]]&gt;=0.6, "Happy", IF(Table13[[#This Row],[valence]]&gt;=0.4, "Neutral", "Sad"))</f>
        <v>Sad</v>
      </c>
      <c r="T516" s="8" t="str">
        <f>IF(Table13[[#This Row],[energy]]&gt;=0.7, "High Energy", IF(Table13[[#This Row],[energy]]&gt;=0.4, "Medium Energy", "Low Energy"))</f>
        <v>Medium Energy</v>
      </c>
      <c r="U516" s="17" t="str">
        <f>IF(Table13[[#This Row],[popularity]]&gt;70, "Popular", IF(Table13[[#This Row],[popularity]]&lt;40, "Less Popular", "Mid"))</f>
        <v>Mid</v>
      </c>
    </row>
    <row r="517" spans="2:21" x14ac:dyDescent="0.3">
      <c r="B517" s="8" t="s">
        <v>679</v>
      </c>
      <c r="C517" s="8" t="s">
        <v>683</v>
      </c>
      <c r="D517" s="9">
        <v>40179</v>
      </c>
      <c r="E517" s="8">
        <v>13</v>
      </c>
      <c r="F517" s="8">
        <v>0.40347222222222223</v>
      </c>
      <c r="G517" s="8">
        <v>0.24930555555555556</v>
      </c>
      <c r="H517" s="8">
        <v>0.22847222222222222</v>
      </c>
      <c r="I517" s="8" t="s">
        <v>680</v>
      </c>
      <c r="J517" s="8">
        <v>0.67986111111111114</v>
      </c>
      <c r="K517" s="10">
        <v>-9531</v>
      </c>
      <c r="L517" s="8">
        <v>0.20347222222222225</v>
      </c>
      <c r="M517" s="10">
        <v>84358</v>
      </c>
      <c r="N517" s="8">
        <v>0.14444444444444446</v>
      </c>
      <c r="O517" s="8">
        <v>46</v>
      </c>
      <c r="P517" s="8">
        <v>367146</v>
      </c>
      <c r="Q517" s="8">
        <f>YEAR(Table13[[#This Row],[release_date]])</f>
        <v>2010</v>
      </c>
      <c r="R517" s="8">
        <f>ROUND(Table13[[#This Row],[duration_ms]]/60000,2)</f>
        <v>6.12</v>
      </c>
      <c r="S517" s="8" t="str">
        <f>IF(Table13[[#This Row],[valence]]&gt;=0.6, "Happy", IF(Table13[[#This Row],[valence]]&gt;=0.4, "Neutral", "Sad"))</f>
        <v>Sad</v>
      </c>
      <c r="T517" s="8" t="str">
        <f>IF(Table13[[#This Row],[energy]]&gt;=0.7, "High Energy", IF(Table13[[#This Row],[energy]]&gt;=0.4, "Medium Energy", "Low Energy"))</f>
        <v>Low Energy</v>
      </c>
      <c r="U517" s="17" t="str">
        <f>IF(Table13[[#This Row],[popularity]]&gt;70, "Popular", IF(Table13[[#This Row],[popularity]]&lt;40, "Less Popular", "Mid"))</f>
        <v>Mid</v>
      </c>
    </row>
    <row r="518" spans="2:21" x14ac:dyDescent="0.3">
      <c r="B518" s="8" t="s">
        <v>681</v>
      </c>
      <c r="C518" s="8" t="s">
        <v>683</v>
      </c>
      <c r="D518" s="9">
        <v>40179</v>
      </c>
      <c r="E518" s="8">
        <v>14</v>
      </c>
      <c r="F518" s="8">
        <v>0.29583333333333334</v>
      </c>
      <c r="G518" s="8">
        <v>0.28611111111111109</v>
      </c>
      <c r="H518" s="8">
        <v>0.47361111111111115</v>
      </c>
      <c r="I518" s="8" t="s">
        <v>682</v>
      </c>
      <c r="J518" s="8">
        <v>7.3611111111111113E-2</v>
      </c>
      <c r="K518" s="10">
        <v>-4319</v>
      </c>
      <c r="L518" s="8">
        <v>0.23541666666666669</v>
      </c>
      <c r="M518" s="10">
        <v>203959</v>
      </c>
      <c r="N518" s="8">
        <v>0.10138888888888888</v>
      </c>
      <c r="O518" s="8">
        <v>46</v>
      </c>
      <c r="P518" s="8">
        <v>317960</v>
      </c>
      <c r="Q518" s="8">
        <f>YEAR(Table13[[#This Row],[release_date]])</f>
        <v>2010</v>
      </c>
      <c r="R518" s="8">
        <f>ROUND(Table13[[#This Row],[duration_ms]]/60000,2)</f>
        <v>5.3</v>
      </c>
      <c r="S518" s="8" t="str">
        <f>IF(Table13[[#This Row],[valence]]&gt;=0.6, "Happy", IF(Table13[[#This Row],[valence]]&gt;=0.4, "Neutral", "Sad"))</f>
        <v>Sad</v>
      </c>
      <c r="T518" s="8" t="str">
        <f>IF(Table13[[#This Row],[energy]]&gt;=0.7, "High Energy", IF(Table13[[#This Row],[energy]]&gt;=0.4, "Medium Energy", "Low Energy"))</f>
        <v>Medium Energy</v>
      </c>
      <c r="U518" s="17" t="str">
        <f>IF(Table13[[#This Row],[popularity]]&gt;70, "Popular", IF(Table13[[#This Row],[popularity]]&lt;40, "Less Popular", "Mid"))</f>
        <v>Mid</v>
      </c>
    </row>
    <row r="519" spans="2:21" x14ac:dyDescent="0.3">
      <c r="B519" s="8" t="s">
        <v>528</v>
      </c>
      <c r="C519" s="8" t="s">
        <v>683</v>
      </c>
      <c r="D519" s="9">
        <v>40179</v>
      </c>
      <c r="E519" s="8">
        <v>15</v>
      </c>
      <c r="F519" s="8">
        <v>0.35069444444444442</v>
      </c>
      <c r="G519" s="8">
        <v>4.2361111111111106E-2</v>
      </c>
      <c r="H519" s="8">
        <v>0.38611111111111113</v>
      </c>
      <c r="I519" s="11">
        <v>0</v>
      </c>
      <c r="J519" s="8">
        <v>0.59097222222222223</v>
      </c>
      <c r="K519" s="10">
        <v>-7369</v>
      </c>
      <c r="L519" s="8">
        <v>0.19791666666666666</v>
      </c>
      <c r="M519" s="10">
        <v>159838</v>
      </c>
      <c r="N519" s="8">
        <v>0.13333333333333333</v>
      </c>
      <c r="O519" s="8">
        <v>46</v>
      </c>
      <c r="P519" s="8">
        <v>238173</v>
      </c>
      <c r="Q519" s="8">
        <f>YEAR(Table13[[#This Row],[release_date]])</f>
        <v>2010</v>
      </c>
      <c r="R519" s="8">
        <f>ROUND(Table13[[#This Row],[duration_ms]]/60000,2)</f>
        <v>3.97</v>
      </c>
      <c r="S519" s="8" t="str">
        <f>IF(Table13[[#This Row],[valence]]&gt;=0.6, "Happy", IF(Table13[[#This Row],[valence]]&gt;=0.4, "Neutral", "Sad"))</f>
        <v>Sad</v>
      </c>
      <c r="T519" s="8" t="str">
        <f>IF(Table13[[#This Row],[energy]]&gt;=0.7, "High Energy", IF(Table13[[#This Row],[energy]]&gt;=0.4, "Medium Energy", "Low Energy"))</f>
        <v>Low Energy</v>
      </c>
      <c r="U519" s="17" t="str">
        <f>IF(Table13[[#This Row],[popularity]]&gt;70, "Popular", IF(Table13[[#This Row],[popularity]]&lt;40, "Less Popular", "Mid"))</f>
        <v>Mid</v>
      </c>
    </row>
    <row r="520" spans="2:21" x14ac:dyDescent="0.3">
      <c r="B520" s="8" t="s">
        <v>684</v>
      </c>
      <c r="C520" s="8" t="s">
        <v>683</v>
      </c>
      <c r="D520" s="9">
        <v>40179</v>
      </c>
      <c r="E520" s="8">
        <v>16</v>
      </c>
      <c r="F520" s="8">
        <v>0.10694444444444445</v>
      </c>
      <c r="G520" s="8">
        <v>0.3576388888888889</v>
      </c>
      <c r="H520" s="8">
        <v>0.50277777777777777</v>
      </c>
      <c r="I520" s="8" t="s">
        <v>685</v>
      </c>
      <c r="J520" s="8">
        <v>0.18680555555555556</v>
      </c>
      <c r="K520" s="10">
        <v>-3498</v>
      </c>
      <c r="L520" s="8">
        <v>0.18541666666666667</v>
      </c>
      <c r="M520" s="10">
        <v>147788</v>
      </c>
      <c r="N520" s="8">
        <v>0.17847222222222223</v>
      </c>
      <c r="O520" s="8">
        <v>45</v>
      </c>
      <c r="P520" s="8">
        <v>234546</v>
      </c>
      <c r="Q520" s="8">
        <f>YEAR(Table13[[#This Row],[release_date]])</f>
        <v>2010</v>
      </c>
      <c r="R520" s="8">
        <f>ROUND(Table13[[#This Row],[duration_ms]]/60000,2)</f>
        <v>3.91</v>
      </c>
      <c r="S520" s="8" t="str">
        <f>IF(Table13[[#This Row],[valence]]&gt;=0.6, "Happy", IF(Table13[[#This Row],[valence]]&gt;=0.4, "Neutral", "Sad"))</f>
        <v>Sad</v>
      </c>
      <c r="T520" s="8" t="str">
        <f>IF(Table13[[#This Row],[energy]]&gt;=0.7, "High Energy", IF(Table13[[#This Row],[energy]]&gt;=0.4, "Medium Energy", "Low Energy"))</f>
        <v>Medium Energy</v>
      </c>
      <c r="U520" s="17" t="str">
        <f>IF(Table13[[#This Row],[popularity]]&gt;70, "Popular", IF(Table13[[#This Row],[popularity]]&lt;40, "Less Popular", "Mid"))</f>
        <v>Mid</v>
      </c>
    </row>
    <row r="521" spans="2:21" x14ac:dyDescent="0.3">
      <c r="B521" s="8" t="s">
        <v>686</v>
      </c>
      <c r="C521" s="8" t="s">
        <v>683</v>
      </c>
      <c r="D521" s="9">
        <v>40179</v>
      </c>
      <c r="E521" s="8">
        <v>17</v>
      </c>
      <c r="F521" s="8">
        <v>0.12986111111111112</v>
      </c>
      <c r="G521" s="8">
        <v>0.40416666666666662</v>
      </c>
      <c r="H521" s="8">
        <v>0.56736111111111109</v>
      </c>
      <c r="I521" s="8" t="s">
        <v>687</v>
      </c>
      <c r="J521" s="8">
        <v>7.013888888888889E-2</v>
      </c>
      <c r="K521" s="10">
        <v>-3718</v>
      </c>
      <c r="L521" s="8">
        <v>0.23402777777777775</v>
      </c>
      <c r="M521" s="10">
        <v>131983</v>
      </c>
      <c r="N521" s="8">
        <v>0.37986111111111115</v>
      </c>
      <c r="O521" s="8">
        <v>39</v>
      </c>
      <c r="P521" s="8">
        <v>276266</v>
      </c>
      <c r="Q521" s="8">
        <f>YEAR(Table13[[#This Row],[release_date]])</f>
        <v>2010</v>
      </c>
      <c r="R521" s="8">
        <f>ROUND(Table13[[#This Row],[duration_ms]]/60000,2)</f>
        <v>4.5999999999999996</v>
      </c>
      <c r="S521" s="8" t="str">
        <f>IF(Table13[[#This Row],[valence]]&gt;=0.6, "Happy", IF(Table13[[#This Row],[valence]]&gt;=0.4, "Neutral", "Sad"))</f>
        <v>Sad</v>
      </c>
      <c r="T521" s="8" t="str">
        <f>IF(Table13[[#This Row],[energy]]&gt;=0.7, "High Energy", IF(Table13[[#This Row],[energy]]&gt;=0.4, "Medium Energy", "Low Energy"))</f>
        <v>Medium Energy</v>
      </c>
      <c r="U521" s="17" t="str">
        <f>IF(Table13[[#This Row],[popularity]]&gt;70, "Popular", IF(Table13[[#This Row],[popularity]]&lt;40, "Less Popular", "Mid"))</f>
        <v>Less Popular</v>
      </c>
    </row>
    <row r="522" spans="2:21" x14ac:dyDescent="0.3">
      <c r="B522" s="8" t="s">
        <v>688</v>
      </c>
      <c r="C522" s="8" t="s">
        <v>683</v>
      </c>
      <c r="D522" s="9">
        <v>40179</v>
      </c>
      <c r="E522" s="8">
        <v>18</v>
      </c>
      <c r="F522" s="8">
        <v>0.50763888888888886</v>
      </c>
      <c r="G522" s="8">
        <v>0.3756944444444445</v>
      </c>
      <c r="H522" s="8">
        <v>0.31319444444444444</v>
      </c>
      <c r="I522" s="11">
        <v>0</v>
      </c>
      <c r="J522" s="8">
        <v>0.13680555555555554</v>
      </c>
      <c r="K522" s="10">
        <v>-6522</v>
      </c>
      <c r="L522" s="8" t="s">
        <v>506</v>
      </c>
      <c r="M522" s="10">
        <v>141713</v>
      </c>
      <c r="N522" s="8">
        <v>0.23124999999999998</v>
      </c>
      <c r="O522" s="8">
        <v>49</v>
      </c>
      <c r="P522" s="8">
        <v>292533</v>
      </c>
      <c r="Q522" s="8">
        <f>YEAR(Table13[[#This Row],[release_date]])</f>
        <v>2010</v>
      </c>
      <c r="R522" s="8">
        <f>ROUND(Table13[[#This Row],[duration_ms]]/60000,2)</f>
        <v>4.88</v>
      </c>
      <c r="S522" s="8" t="str">
        <f>IF(Table13[[#This Row],[valence]]&gt;=0.6, "Happy", IF(Table13[[#This Row],[valence]]&gt;=0.4, "Neutral", "Sad"))</f>
        <v>Sad</v>
      </c>
      <c r="T522" s="8" t="str">
        <f>IF(Table13[[#This Row],[energy]]&gt;=0.7, "High Energy", IF(Table13[[#This Row],[energy]]&gt;=0.4, "Medium Energy", "Low Energy"))</f>
        <v>Low Energy</v>
      </c>
      <c r="U522" s="17" t="str">
        <f>IF(Table13[[#This Row],[popularity]]&gt;70, "Popular", IF(Table13[[#This Row],[popularity]]&lt;40, "Less Popular", "Mid"))</f>
        <v>Mid</v>
      </c>
    </row>
    <row r="523" spans="2:21" x14ac:dyDescent="0.3">
      <c r="B523" s="8" t="s">
        <v>689</v>
      </c>
      <c r="C523" s="8" t="s">
        <v>683</v>
      </c>
      <c r="D523" s="9">
        <v>40179</v>
      </c>
      <c r="E523" s="8">
        <v>19</v>
      </c>
      <c r="F523" s="8">
        <v>0.58402777777777781</v>
      </c>
      <c r="G523" s="8">
        <v>0.39861111111111108</v>
      </c>
      <c r="H523" s="8">
        <v>0.32083333333333336</v>
      </c>
      <c r="I523" s="11">
        <v>0</v>
      </c>
      <c r="J523" s="11">
        <v>1.9444444444444445E-2</v>
      </c>
      <c r="K523" s="10">
        <v>-5124</v>
      </c>
      <c r="L523" s="8">
        <v>0.17500000000000002</v>
      </c>
      <c r="M523" s="10">
        <v>80858</v>
      </c>
      <c r="N523" s="8">
        <v>0.21805555555555556</v>
      </c>
      <c r="O523" s="8">
        <v>44</v>
      </c>
      <c r="P523" s="8">
        <v>217626</v>
      </c>
      <c r="Q523" s="8">
        <f>YEAR(Table13[[#This Row],[release_date]])</f>
        <v>2010</v>
      </c>
      <c r="R523" s="8">
        <f>ROUND(Table13[[#This Row],[duration_ms]]/60000,2)</f>
        <v>3.63</v>
      </c>
      <c r="S523" s="8" t="str">
        <f>IF(Table13[[#This Row],[valence]]&gt;=0.6, "Happy", IF(Table13[[#This Row],[valence]]&gt;=0.4, "Neutral", "Sad"))</f>
        <v>Sad</v>
      </c>
      <c r="T523" s="8" t="str">
        <f>IF(Table13[[#This Row],[energy]]&gt;=0.7, "High Energy", IF(Table13[[#This Row],[energy]]&gt;=0.4, "Medium Energy", "Low Energy"))</f>
        <v>Low Energy</v>
      </c>
      <c r="U523" s="17" t="str">
        <f>IF(Table13[[#This Row],[popularity]]&gt;70, "Popular", IF(Table13[[#This Row],[popularity]]&lt;40, "Less Popular", "Mid"))</f>
        <v>Mid</v>
      </c>
    </row>
    <row r="524" spans="2:21" x14ac:dyDescent="0.3">
      <c r="B524" s="8" t="s">
        <v>507</v>
      </c>
      <c r="C524" s="8" t="s">
        <v>683</v>
      </c>
      <c r="D524" s="9">
        <v>40179</v>
      </c>
      <c r="E524" s="8">
        <v>20</v>
      </c>
      <c r="F524" s="8" t="s">
        <v>690</v>
      </c>
      <c r="G524" s="8">
        <v>0.43124999999999997</v>
      </c>
      <c r="H524" s="8">
        <v>5.4166666666666669E-2</v>
      </c>
      <c r="I524" s="8" t="s">
        <v>691</v>
      </c>
      <c r="J524" s="8">
        <v>0.1277777777777778</v>
      </c>
      <c r="K524" s="10">
        <v>-2934</v>
      </c>
      <c r="L524" s="8">
        <v>0.20625000000000002</v>
      </c>
      <c r="M524" s="10">
        <v>121038</v>
      </c>
      <c r="N524" s="8">
        <v>0.46666666666666662</v>
      </c>
      <c r="O524" s="8">
        <v>57</v>
      </c>
      <c r="P524" s="8">
        <v>230773</v>
      </c>
      <c r="Q524" s="8">
        <f>YEAR(Table13[[#This Row],[release_date]])</f>
        <v>2010</v>
      </c>
      <c r="R524" s="8">
        <f>ROUND(Table13[[#This Row],[duration_ms]]/60000,2)</f>
        <v>3.85</v>
      </c>
      <c r="S524" s="8" t="str">
        <f>IF(Table13[[#This Row],[valence]]&gt;=0.6, "Happy", IF(Table13[[#This Row],[valence]]&gt;=0.4, "Neutral", "Sad"))</f>
        <v>Neutral</v>
      </c>
      <c r="T524" s="8" t="str">
        <f>IF(Table13[[#This Row],[energy]]&gt;=0.7, "High Energy", IF(Table13[[#This Row],[energy]]&gt;=0.4, "Medium Energy", "Low Energy"))</f>
        <v>Low Energy</v>
      </c>
      <c r="U524" s="17" t="str">
        <f>IF(Table13[[#This Row],[popularity]]&gt;70, "Popular", IF(Table13[[#This Row],[popularity]]&lt;40, "Less Popular", "Mid"))</f>
        <v>Mid</v>
      </c>
    </row>
    <row r="525" spans="2:21" x14ac:dyDescent="0.3">
      <c r="B525" s="8" t="s">
        <v>669</v>
      </c>
      <c r="C525" s="8" t="s">
        <v>683</v>
      </c>
      <c r="D525" s="9">
        <v>40179</v>
      </c>
      <c r="E525" s="8">
        <v>21</v>
      </c>
      <c r="F525" s="8">
        <v>7.8472222222222221E-2</v>
      </c>
      <c r="G525" s="8">
        <v>0.36458333333333331</v>
      </c>
      <c r="H525" s="8">
        <v>0.4694444444444445</v>
      </c>
      <c r="I525" s="11">
        <v>0</v>
      </c>
      <c r="J525" s="8">
        <v>0.20416666666666669</v>
      </c>
      <c r="K525" s="10">
        <v>-4684</v>
      </c>
      <c r="L525" s="8">
        <v>0.20416666666666669</v>
      </c>
      <c r="M525" s="8" t="s">
        <v>692</v>
      </c>
      <c r="N525" s="8">
        <v>0.19513888888888889</v>
      </c>
      <c r="O525" s="8">
        <v>34</v>
      </c>
      <c r="P525" s="8">
        <v>293040</v>
      </c>
      <c r="Q525" s="8">
        <f>YEAR(Table13[[#This Row],[release_date]])</f>
        <v>2010</v>
      </c>
      <c r="R525" s="8">
        <f>ROUND(Table13[[#This Row],[duration_ms]]/60000,2)</f>
        <v>4.88</v>
      </c>
      <c r="S525" s="8" t="str">
        <f>IF(Table13[[#This Row],[valence]]&gt;=0.6, "Happy", IF(Table13[[#This Row],[valence]]&gt;=0.4, "Neutral", "Sad"))</f>
        <v>Sad</v>
      </c>
      <c r="T525" s="8" t="str">
        <f>IF(Table13[[#This Row],[energy]]&gt;=0.7, "High Energy", IF(Table13[[#This Row],[energy]]&gt;=0.4, "Medium Energy", "Low Energy"))</f>
        <v>Medium Energy</v>
      </c>
      <c r="U525" s="17" t="str">
        <f>IF(Table13[[#This Row],[popularity]]&gt;70, "Popular", IF(Table13[[#This Row],[popularity]]&lt;40, "Less Popular", "Mid"))</f>
        <v>Less Popular</v>
      </c>
    </row>
    <row r="526" spans="2:21" x14ac:dyDescent="0.3">
      <c r="B526" s="8" t="s">
        <v>547</v>
      </c>
      <c r="C526" s="8" t="s">
        <v>683</v>
      </c>
      <c r="D526" s="9">
        <v>40179</v>
      </c>
      <c r="E526" s="8">
        <v>22</v>
      </c>
      <c r="F526" s="8" t="s">
        <v>693</v>
      </c>
      <c r="G526" s="8">
        <v>0.37916666666666665</v>
      </c>
      <c r="H526" s="8">
        <v>0.56180555555555556</v>
      </c>
      <c r="I526" s="8" t="s">
        <v>694</v>
      </c>
      <c r="J526" s="8">
        <v>0.3034722222222222</v>
      </c>
      <c r="K526" s="10">
        <v>-3621</v>
      </c>
      <c r="L526" s="8" t="s">
        <v>511</v>
      </c>
      <c r="M526" s="8" t="s">
        <v>695</v>
      </c>
      <c r="N526" s="8">
        <v>0.45069444444444445</v>
      </c>
      <c r="O526" s="8">
        <v>52</v>
      </c>
      <c r="P526" s="8">
        <v>266480</v>
      </c>
      <c r="Q526" s="8">
        <f>YEAR(Table13[[#This Row],[release_date]])</f>
        <v>2010</v>
      </c>
      <c r="R526" s="8">
        <f>ROUND(Table13[[#This Row],[duration_ms]]/60000,2)</f>
        <v>4.4400000000000004</v>
      </c>
      <c r="S526" s="8" t="str">
        <f>IF(Table13[[#This Row],[valence]]&gt;=0.6, "Happy", IF(Table13[[#This Row],[valence]]&gt;=0.4, "Neutral", "Sad"))</f>
        <v>Neutral</v>
      </c>
      <c r="T526" s="8" t="str">
        <f>IF(Table13[[#This Row],[energy]]&gt;=0.7, "High Energy", IF(Table13[[#This Row],[energy]]&gt;=0.4, "Medium Energy", "Low Energy"))</f>
        <v>Medium Energy</v>
      </c>
      <c r="U526" s="17" t="str">
        <f>IF(Table13[[#This Row],[popularity]]&gt;70, "Popular", IF(Table13[[#This Row],[popularity]]&lt;40, "Less Popular", "Mid"))</f>
        <v>Mid</v>
      </c>
    </row>
    <row r="527" spans="2:21" x14ac:dyDescent="0.3">
      <c r="B527" s="8" t="s">
        <v>542</v>
      </c>
      <c r="C527" s="8" t="s">
        <v>696</v>
      </c>
      <c r="D527" s="9">
        <v>39763</v>
      </c>
      <c r="E527" s="8">
        <v>1</v>
      </c>
      <c r="F527" s="8">
        <v>7.7083333333333337E-2</v>
      </c>
      <c r="G527" s="8">
        <v>0.4291666666666667</v>
      </c>
      <c r="H527" s="8">
        <v>0.4770833333333333</v>
      </c>
      <c r="I527" s="11">
        <v>0</v>
      </c>
      <c r="J527" s="8">
        <v>0.48125000000000001</v>
      </c>
      <c r="K527" s="10">
        <v>-5737</v>
      </c>
      <c r="L527" s="8">
        <v>0.18819444444444444</v>
      </c>
      <c r="M527" s="10">
        <v>79991</v>
      </c>
      <c r="N527" s="8">
        <v>5.6944444444444443E-2</v>
      </c>
      <c r="O527" s="8">
        <v>41</v>
      </c>
      <c r="P527" s="8">
        <v>237066</v>
      </c>
      <c r="Q527" s="8">
        <f>YEAR(Table13[[#This Row],[release_date]])</f>
        <v>2008</v>
      </c>
      <c r="R527" s="8">
        <f>ROUND(Table13[[#This Row],[duration_ms]]/60000,2)</f>
        <v>3.95</v>
      </c>
      <c r="S527" s="8" t="str">
        <f>IF(Table13[[#This Row],[valence]]&gt;=0.6, "Happy", IF(Table13[[#This Row],[valence]]&gt;=0.4, "Neutral", "Sad"))</f>
        <v>Sad</v>
      </c>
      <c r="T527" s="8" t="str">
        <f>IF(Table13[[#This Row],[energy]]&gt;=0.7, "High Energy", IF(Table13[[#This Row],[energy]]&gt;=0.4, "Medium Energy", "Low Energy"))</f>
        <v>Medium Energy</v>
      </c>
      <c r="U527" s="17" t="str">
        <f>IF(Table13[[#This Row],[popularity]]&gt;70, "Popular", IF(Table13[[#This Row],[popularity]]&lt;40, "Less Popular", "Mid"))</f>
        <v>Mid</v>
      </c>
    </row>
    <row r="528" spans="2:21" x14ac:dyDescent="0.3">
      <c r="B528" s="8" t="s">
        <v>697</v>
      </c>
      <c r="C528" s="8" t="s">
        <v>696</v>
      </c>
      <c r="D528" s="9">
        <v>39763</v>
      </c>
      <c r="E528" s="8">
        <v>2</v>
      </c>
      <c r="F528" s="8">
        <v>0.40486111111111112</v>
      </c>
      <c r="G528" s="8">
        <v>0.29097222222222224</v>
      </c>
      <c r="H528" s="8">
        <v>0.31527777777777777</v>
      </c>
      <c r="I528" s="8" t="s">
        <v>698</v>
      </c>
      <c r="J528" s="8">
        <v>0.67638888888888893</v>
      </c>
      <c r="K528" s="10">
        <v>-6809</v>
      </c>
      <c r="L528" s="8">
        <v>0.23263888888888887</v>
      </c>
      <c r="M528" s="10">
        <v>200017</v>
      </c>
      <c r="N528" s="8">
        <v>0.19999999999999998</v>
      </c>
      <c r="O528" s="8">
        <v>43</v>
      </c>
      <c r="P528" s="8">
        <v>311040</v>
      </c>
      <c r="Q528" s="8">
        <f>YEAR(Table13[[#This Row],[release_date]])</f>
        <v>2008</v>
      </c>
      <c r="R528" s="8">
        <f>ROUND(Table13[[#This Row],[duration_ms]]/60000,2)</f>
        <v>5.18</v>
      </c>
      <c r="S528" s="8" t="str">
        <f>IF(Table13[[#This Row],[valence]]&gt;=0.6, "Happy", IF(Table13[[#This Row],[valence]]&gt;=0.4, "Neutral", "Sad"))</f>
        <v>Sad</v>
      </c>
      <c r="T528" s="8" t="str">
        <f>IF(Table13[[#This Row],[energy]]&gt;=0.7, "High Energy", IF(Table13[[#This Row],[energy]]&gt;=0.4, "Medium Energy", "Low Energy"))</f>
        <v>Low Energy</v>
      </c>
      <c r="U528" s="17" t="str">
        <f>IF(Table13[[#This Row],[popularity]]&gt;70, "Popular", IF(Table13[[#This Row],[popularity]]&lt;40, "Less Popular", "Mid"))</f>
        <v>Mid</v>
      </c>
    </row>
    <row r="529" spans="2:21" x14ac:dyDescent="0.3">
      <c r="B529" s="8" t="s">
        <v>699</v>
      </c>
      <c r="C529" s="8" t="s">
        <v>696</v>
      </c>
      <c r="D529" s="9">
        <v>39763</v>
      </c>
      <c r="E529" s="8">
        <v>3</v>
      </c>
      <c r="F529" s="8">
        <v>0.59166666666666667</v>
      </c>
      <c r="G529" s="8">
        <v>0.41111111111111115</v>
      </c>
      <c r="H529" s="11">
        <v>1.1111111111111112E-2</v>
      </c>
      <c r="I529" s="11">
        <v>0</v>
      </c>
      <c r="J529" s="8">
        <v>8.0555555555555561E-2</v>
      </c>
      <c r="K529" s="10">
        <v>-10785</v>
      </c>
      <c r="L529" s="8">
        <v>0.24097222222222223</v>
      </c>
      <c r="M529" s="10">
        <v>118929</v>
      </c>
      <c r="N529" s="8">
        <v>0.20416666666666669</v>
      </c>
      <c r="O529" s="8">
        <v>41</v>
      </c>
      <c r="P529" s="8">
        <v>267506</v>
      </c>
      <c r="Q529" s="8">
        <f>YEAR(Table13[[#This Row],[release_date]])</f>
        <v>2008</v>
      </c>
      <c r="R529" s="8">
        <f>ROUND(Table13[[#This Row],[duration_ms]]/60000,2)</f>
        <v>4.46</v>
      </c>
      <c r="S529" s="8" t="str">
        <f>IF(Table13[[#This Row],[valence]]&gt;=0.6, "Happy", IF(Table13[[#This Row],[valence]]&gt;=0.4, "Neutral", "Sad"))</f>
        <v>Sad</v>
      </c>
      <c r="T529" s="8" t="str">
        <f>IF(Table13[[#This Row],[energy]]&gt;=0.7, "High Energy", IF(Table13[[#This Row],[energy]]&gt;=0.4, "Medium Energy", "Low Energy"))</f>
        <v>Low Energy</v>
      </c>
      <c r="U529" s="17" t="str">
        <f>IF(Table13[[#This Row],[popularity]]&gt;70, "Popular", IF(Table13[[#This Row],[popularity]]&lt;40, "Less Popular", "Mid"))</f>
        <v>Mid</v>
      </c>
    </row>
    <row r="530" spans="2:21" x14ac:dyDescent="0.3">
      <c r="B530" s="8" t="s">
        <v>700</v>
      </c>
      <c r="C530" s="8" t="s">
        <v>696</v>
      </c>
      <c r="D530" s="9">
        <v>39763</v>
      </c>
      <c r="E530" s="8">
        <v>4</v>
      </c>
      <c r="F530" s="8">
        <v>0.66736111111111107</v>
      </c>
      <c r="G530" s="8">
        <v>0.3659722222222222</v>
      </c>
      <c r="H530" s="8">
        <v>0.32013888888888892</v>
      </c>
      <c r="I530" s="8" t="s">
        <v>701</v>
      </c>
      <c r="J530" s="11">
        <v>1.6666666666666666E-2</v>
      </c>
      <c r="K530" s="10">
        <v>-6172</v>
      </c>
      <c r="L530" s="8">
        <v>0.17777777777777778</v>
      </c>
      <c r="M530" s="8" t="s">
        <v>702</v>
      </c>
      <c r="N530" s="11">
        <v>1.5972222222222224E-2</v>
      </c>
      <c r="O530" s="8">
        <v>39</v>
      </c>
      <c r="P530" s="8">
        <v>238093</v>
      </c>
      <c r="Q530" s="8">
        <f>YEAR(Table13[[#This Row],[release_date]])</f>
        <v>2008</v>
      </c>
      <c r="R530" s="8">
        <f>ROUND(Table13[[#This Row],[duration_ms]]/60000,2)</f>
        <v>3.97</v>
      </c>
      <c r="S530" s="8" t="str">
        <f>IF(Table13[[#This Row],[valence]]&gt;=0.6, "Happy", IF(Table13[[#This Row],[valence]]&gt;=0.4, "Neutral", "Sad"))</f>
        <v>Sad</v>
      </c>
      <c r="T530" s="8" t="str">
        <f>IF(Table13[[#This Row],[energy]]&gt;=0.7, "High Energy", IF(Table13[[#This Row],[energy]]&gt;=0.4, "Medium Energy", "Low Energy"))</f>
        <v>Low Energy</v>
      </c>
      <c r="U530" s="17" t="str">
        <f>IF(Table13[[#This Row],[popularity]]&gt;70, "Popular", IF(Table13[[#This Row],[popularity]]&lt;40, "Less Popular", "Mid"))</f>
        <v>Less Popular</v>
      </c>
    </row>
    <row r="531" spans="2:21" x14ac:dyDescent="0.3">
      <c r="B531" s="8" t="s">
        <v>703</v>
      </c>
      <c r="C531" s="8" t="s">
        <v>696</v>
      </c>
      <c r="D531" s="9">
        <v>39763</v>
      </c>
      <c r="E531" s="8">
        <v>5</v>
      </c>
      <c r="F531" s="8">
        <v>0.25486111111111109</v>
      </c>
      <c r="G531" s="8">
        <v>4.2361111111111106E-2</v>
      </c>
      <c r="H531" s="8">
        <v>0.36874999999999997</v>
      </c>
      <c r="I531" s="11">
        <v>0</v>
      </c>
      <c r="J531" s="8">
        <v>0.24374999999999999</v>
      </c>
      <c r="K531" s="10">
        <v>-6123</v>
      </c>
      <c r="L531" s="8">
        <v>0.16597222222222222</v>
      </c>
      <c r="M531" s="10">
        <v>85979</v>
      </c>
      <c r="N531" s="8">
        <v>0.15833333333333333</v>
      </c>
      <c r="O531" s="8">
        <v>38</v>
      </c>
      <c r="P531" s="8">
        <v>261453</v>
      </c>
      <c r="Q531" s="8">
        <f>YEAR(Table13[[#This Row],[release_date]])</f>
        <v>2008</v>
      </c>
      <c r="R531" s="8">
        <f>ROUND(Table13[[#This Row],[duration_ms]]/60000,2)</f>
        <v>4.3600000000000003</v>
      </c>
      <c r="S531" s="8" t="str">
        <f>IF(Table13[[#This Row],[valence]]&gt;=0.6, "Happy", IF(Table13[[#This Row],[valence]]&gt;=0.4, "Neutral", "Sad"))</f>
        <v>Sad</v>
      </c>
      <c r="T531" s="8" t="str">
        <f>IF(Table13[[#This Row],[energy]]&gt;=0.7, "High Energy", IF(Table13[[#This Row],[energy]]&gt;=0.4, "Medium Energy", "Low Energy"))</f>
        <v>Low Energy</v>
      </c>
      <c r="U531" s="17" t="str">
        <f>IF(Table13[[#This Row],[popularity]]&gt;70, "Popular", IF(Table13[[#This Row],[popularity]]&lt;40, "Less Popular", "Mid"))</f>
        <v>Less Popular</v>
      </c>
    </row>
    <row r="532" spans="2:21" x14ac:dyDescent="0.3">
      <c r="B532" s="8" t="s">
        <v>704</v>
      </c>
      <c r="C532" s="8" t="s">
        <v>696</v>
      </c>
      <c r="D532" s="9">
        <v>39763</v>
      </c>
      <c r="E532" s="8">
        <v>6</v>
      </c>
      <c r="F532" s="8">
        <v>0.11736111111111112</v>
      </c>
      <c r="G532" s="8">
        <v>0.33055555555555555</v>
      </c>
      <c r="H532" s="8">
        <v>0.56666666666666665</v>
      </c>
      <c r="I532" s="11">
        <v>0</v>
      </c>
      <c r="J532" s="8">
        <v>0.16527777777777777</v>
      </c>
      <c r="K532" s="10">
        <v>-4279</v>
      </c>
      <c r="L532" s="8">
        <v>0.24097222222222223</v>
      </c>
      <c r="M532" s="10">
        <v>163847</v>
      </c>
      <c r="N532" s="8">
        <v>0.32569444444444445</v>
      </c>
      <c r="O532" s="8">
        <v>39</v>
      </c>
      <c r="P532" s="8">
        <v>237600</v>
      </c>
      <c r="Q532" s="8">
        <f>YEAR(Table13[[#This Row],[release_date]])</f>
        <v>2008</v>
      </c>
      <c r="R532" s="8">
        <f>ROUND(Table13[[#This Row],[duration_ms]]/60000,2)</f>
        <v>3.96</v>
      </c>
      <c r="S532" s="8" t="str">
        <f>IF(Table13[[#This Row],[valence]]&gt;=0.6, "Happy", IF(Table13[[#This Row],[valence]]&gt;=0.4, "Neutral", "Sad"))</f>
        <v>Sad</v>
      </c>
      <c r="T532" s="8" t="str">
        <f>IF(Table13[[#This Row],[energy]]&gt;=0.7, "High Energy", IF(Table13[[#This Row],[energy]]&gt;=0.4, "Medium Energy", "Low Energy"))</f>
        <v>Medium Energy</v>
      </c>
      <c r="U532" s="17" t="str">
        <f>IF(Table13[[#This Row],[popularity]]&gt;70, "Popular", IF(Table13[[#This Row],[popularity]]&lt;40, "Less Popular", "Mid"))</f>
        <v>Less Popular</v>
      </c>
    </row>
    <row r="533" spans="2:21" x14ac:dyDescent="0.3">
      <c r="B533" s="8" t="s">
        <v>523</v>
      </c>
      <c r="C533" s="8" t="s">
        <v>696</v>
      </c>
      <c r="D533" s="9">
        <v>39763</v>
      </c>
      <c r="E533" s="8">
        <v>7</v>
      </c>
      <c r="F533" s="8">
        <v>0.25277777777777777</v>
      </c>
      <c r="G533" s="8">
        <v>0.4152777777777778</v>
      </c>
      <c r="H533" s="8">
        <v>0.49583333333333335</v>
      </c>
      <c r="I533" s="8" t="s">
        <v>705</v>
      </c>
      <c r="J533" s="11">
        <v>2.1527777777777781E-2</v>
      </c>
      <c r="K533" s="10">
        <v>-4397</v>
      </c>
      <c r="L533" s="8">
        <v>0.18958333333333333</v>
      </c>
      <c r="M533" s="10">
        <v>99979</v>
      </c>
      <c r="N533" s="8">
        <v>0.32430555555555557</v>
      </c>
      <c r="O533" s="8">
        <v>50</v>
      </c>
      <c r="P533" s="8">
        <v>242000</v>
      </c>
      <c r="Q533" s="8">
        <f>YEAR(Table13[[#This Row],[release_date]])</f>
        <v>2008</v>
      </c>
      <c r="R533" s="8">
        <f>ROUND(Table13[[#This Row],[duration_ms]]/60000,2)</f>
        <v>4.03</v>
      </c>
      <c r="S533" s="8" t="str">
        <f>IF(Table13[[#This Row],[valence]]&gt;=0.6, "Happy", IF(Table13[[#This Row],[valence]]&gt;=0.4, "Neutral", "Sad"))</f>
        <v>Sad</v>
      </c>
      <c r="T533" s="8" t="str">
        <f>IF(Table13[[#This Row],[energy]]&gt;=0.7, "High Energy", IF(Table13[[#This Row],[energy]]&gt;=0.4, "Medium Energy", "Low Energy"))</f>
        <v>Medium Energy</v>
      </c>
      <c r="U533" s="17" t="str">
        <f>IF(Table13[[#This Row],[popularity]]&gt;70, "Popular", IF(Table13[[#This Row],[popularity]]&lt;40, "Less Popular", "Mid"))</f>
        <v>Mid</v>
      </c>
    </row>
    <row r="534" spans="2:21" x14ac:dyDescent="0.3">
      <c r="B534" s="8" t="s">
        <v>505</v>
      </c>
      <c r="C534" s="8" t="s">
        <v>696</v>
      </c>
      <c r="D534" s="9">
        <v>39763</v>
      </c>
      <c r="E534" s="8">
        <v>8</v>
      </c>
      <c r="F534" s="8">
        <v>0.50555555555555554</v>
      </c>
      <c r="G534" s="8">
        <v>0.38819444444444445</v>
      </c>
      <c r="H534" s="8">
        <v>0.44166666666666665</v>
      </c>
      <c r="I534" s="11">
        <v>0</v>
      </c>
      <c r="J534" s="8">
        <v>9.9999999999999992E-2</v>
      </c>
      <c r="K534" s="8" t="s">
        <v>706</v>
      </c>
      <c r="L534" s="8">
        <v>0.18263888888888891</v>
      </c>
      <c r="M534" s="10">
        <v>95485</v>
      </c>
      <c r="N534" s="8">
        <v>0.14861111111111111</v>
      </c>
      <c r="O534" s="8">
        <v>40</v>
      </c>
      <c r="P534" s="8">
        <v>294346</v>
      </c>
      <c r="Q534" s="8">
        <f>YEAR(Table13[[#This Row],[release_date]])</f>
        <v>2008</v>
      </c>
      <c r="R534" s="8">
        <f>ROUND(Table13[[#This Row],[duration_ms]]/60000,2)</f>
        <v>4.91</v>
      </c>
      <c r="S534" s="8" t="str">
        <f>IF(Table13[[#This Row],[valence]]&gt;=0.6, "Happy", IF(Table13[[#This Row],[valence]]&gt;=0.4, "Neutral", "Sad"))</f>
        <v>Sad</v>
      </c>
      <c r="T534" s="8" t="str">
        <f>IF(Table13[[#This Row],[energy]]&gt;=0.7, "High Energy", IF(Table13[[#This Row],[energy]]&gt;=0.4, "Medium Energy", "Low Energy"))</f>
        <v>Medium Energy</v>
      </c>
      <c r="U534" s="17" t="str">
        <f>IF(Table13[[#This Row],[popularity]]&gt;70, "Popular", IF(Table13[[#This Row],[popularity]]&lt;40, "Less Popular", "Mid"))</f>
        <v>Mid</v>
      </c>
    </row>
    <row r="535" spans="2:21" x14ac:dyDescent="0.3">
      <c r="B535" s="8" t="s">
        <v>707</v>
      </c>
      <c r="C535" s="8" t="s">
        <v>696</v>
      </c>
      <c r="D535" s="9">
        <v>39763</v>
      </c>
      <c r="E535" s="8">
        <v>9</v>
      </c>
      <c r="F535" s="8">
        <v>0.10902777777777778</v>
      </c>
      <c r="G535" s="8">
        <v>0.4291666666666667</v>
      </c>
      <c r="H535" s="8">
        <v>0.51111111111111118</v>
      </c>
      <c r="I535" s="11">
        <v>0</v>
      </c>
      <c r="J535" s="8" t="s">
        <v>708</v>
      </c>
      <c r="K535" s="10">
        <v>-3937</v>
      </c>
      <c r="L535" s="8">
        <v>0.21388888888888891</v>
      </c>
      <c r="M535" s="10">
        <v>118982</v>
      </c>
      <c r="N535" s="8">
        <v>0.21319444444444444</v>
      </c>
      <c r="O535" s="8">
        <v>56</v>
      </c>
      <c r="P535" s="8">
        <v>235280</v>
      </c>
      <c r="Q535" s="8">
        <f>YEAR(Table13[[#This Row],[release_date]])</f>
        <v>2008</v>
      </c>
      <c r="R535" s="8">
        <f>ROUND(Table13[[#This Row],[duration_ms]]/60000,2)</f>
        <v>3.92</v>
      </c>
      <c r="S535" s="8" t="str">
        <f>IF(Table13[[#This Row],[valence]]&gt;=0.6, "Happy", IF(Table13[[#This Row],[valence]]&gt;=0.4, "Neutral", "Sad"))</f>
        <v>Sad</v>
      </c>
      <c r="T535" s="8" t="str">
        <f>IF(Table13[[#This Row],[energy]]&gt;=0.7, "High Energy", IF(Table13[[#This Row],[energy]]&gt;=0.4, "Medium Energy", "Low Energy"))</f>
        <v>Medium Energy</v>
      </c>
      <c r="U535" s="17" t="str">
        <f>IF(Table13[[#This Row],[popularity]]&gt;70, "Popular", IF(Table13[[#This Row],[popularity]]&lt;40, "Less Popular", "Mid"))</f>
        <v>Mid</v>
      </c>
    </row>
    <row r="536" spans="2:21" x14ac:dyDescent="0.3">
      <c r="B536" s="8" t="s">
        <v>553</v>
      </c>
      <c r="C536" s="8" t="s">
        <v>696</v>
      </c>
      <c r="D536" s="9">
        <v>39763</v>
      </c>
      <c r="E536" s="8">
        <v>10</v>
      </c>
      <c r="F536" s="8">
        <v>0.11666666666666665</v>
      </c>
      <c r="G536" s="8">
        <v>0.5854166666666667</v>
      </c>
      <c r="H536" s="8">
        <v>0.3840277777777778</v>
      </c>
      <c r="I536" s="8" t="s">
        <v>709</v>
      </c>
      <c r="J536" s="8">
        <v>7.4305555555555555E-2</v>
      </c>
      <c r="K536" s="10">
        <v>-7348</v>
      </c>
      <c r="L536" s="8">
        <v>0.22013888888888888</v>
      </c>
      <c r="M536" s="10">
        <v>115997</v>
      </c>
      <c r="N536" s="8">
        <v>0.57291666666666663</v>
      </c>
      <c r="O536" s="8">
        <v>43</v>
      </c>
      <c r="P536" s="8">
        <v>254320</v>
      </c>
      <c r="Q536" s="8">
        <f>YEAR(Table13[[#This Row],[release_date]])</f>
        <v>2008</v>
      </c>
      <c r="R536" s="8">
        <f>ROUND(Table13[[#This Row],[duration_ms]]/60000,2)</f>
        <v>4.24</v>
      </c>
      <c r="S536" s="8" t="str">
        <f>IF(Table13[[#This Row],[valence]]&gt;=0.6, "Happy", IF(Table13[[#This Row],[valence]]&gt;=0.4, "Neutral", "Sad"))</f>
        <v>Neutral</v>
      </c>
      <c r="T536" s="8" t="str">
        <f>IF(Table13[[#This Row],[energy]]&gt;=0.7, "High Energy", IF(Table13[[#This Row],[energy]]&gt;=0.4, "Medium Energy", "Low Energy"))</f>
        <v>Low Energy</v>
      </c>
      <c r="U536" s="17" t="str">
        <f>IF(Table13[[#This Row],[popularity]]&gt;70, "Popular", IF(Table13[[#This Row],[popularity]]&lt;40, "Less Popular", "Mid"))</f>
        <v>Mid</v>
      </c>
    </row>
    <row r="537" spans="2:21" x14ac:dyDescent="0.3">
      <c r="B537" s="8" t="s">
        <v>557</v>
      </c>
      <c r="C537" s="8" t="s">
        <v>696</v>
      </c>
      <c r="D537" s="9">
        <v>39763</v>
      </c>
      <c r="E537" s="8">
        <v>11</v>
      </c>
      <c r="F537" s="8">
        <v>0.20972222222222223</v>
      </c>
      <c r="G537" s="8">
        <v>0.40625</v>
      </c>
      <c r="H537" s="8">
        <v>0.24027777777777778</v>
      </c>
      <c r="I537" s="11">
        <v>0</v>
      </c>
      <c r="J537" s="8">
        <v>7.0833333333333331E-2</v>
      </c>
      <c r="K537" s="10">
        <v>-8014</v>
      </c>
      <c r="L537" s="8">
        <v>0.17777777777777778</v>
      </c>
      <c r="M537" s="10">
        <v>92564</v>
      </c>
      <c r="N537" s="8">
        <v>0.13541666666666666</v>
      </c>
      <c r="O537" s="8">
        <v>42</v>
      </c>
      <c r="P537" s="8">
        <v>234440</v>
      </c>
      <c r="Q537" s="8">
        <f>YEAR(Table13[[#This Row],[release_date]])</f>
        <v>2008</v>
      </c>
      <c r="R537" s="8">
        <f>ROUND(Table13[[#This Row],[duration_ms]]/60000,2)</f>
        <v>3.91</v>
      </c>
      <c r="S537" s="8" t="str">
        <f>IF(Table13[[#This Row],[valence]]&gt;=0.6, "Happy", IF(Table13[[#This Row],[valence]]&gt;=0.4, "Neutral", "Sad"))</f>
        <v>Sad</v>
      </c>
      <c r="T537" s="8" t="str">
        <f>IF(Table13[[#This Row],[energy]]&gt;=0.7, "High Energy", IF(Table13[[#This Row],[energy]]&gt;=0.4, "Medium Energy", "Low Energy"))</f>
        <v>Low Energy</v>
      </c>
      <c r="U537" s="17" t="str">
        <f>IF(Table13[[#This Row],[popularity]]&gt;70, "Popular", IF(Table13[[#This Row],[popularity]]&lt;40, "Less Popular", "Mid"))</f>
        <v>Mid</v>
      </c>
    </row>
    <row r="538" spans="2:21" x14ac:dyDescent="0.3">
      <c r="B538" s="8" t="s">
        <v>710</v>
      </c>
      <c r="C538" s="8" t="s">
        <v>696</v>
      </c>
      <c r="D538" s="9">
        <v>39763</v>
      </c>
      <c r="E538" s="8">
        <v>12</v>
      </c>
      <c r="F538" s="8">
        <v>0.11388888888888889</v>
      </c>
      <c r="G538" s="8">
        <v>0.4770833333333333</v>
      </c>
      <c r="H538" s="8">
        <v>0.53541666666666665</v>
      </c>
      <c r="I538" s="8" t="s">
        <v>334</v>
      </c>
      <c r="J538" s="8">
        <v>7.7777777777777779E-2</v>
      </c>
      <c r="K538" s="10">
        <v>-4424</v>
      </c>
      <c r="L538" s="8">
        <v>0.26666666666666666</v>
      </c>
      <c r="M538" s="10">
        <v>129964</v>
      </c>
      <c r="N538" s="8">
        <v>0.30902777777777779</v>
      </c>
      <c r="O538" s="8">
        <v>57</v>
      </c>
      <c r="P538" s="8">
        <v>231146</v>
      </c>
      <c r="Q538" s="8">
        <f>YEAR(Table13[[#This Row],[release_date]])</f>
        <v>2008</v>
      </c>
      <c r="R538" s="8">
        <f>ROUND(Table13[[#This Row],[duration_ms]]/60000,2)</f>
        <v>3.85</v>
      </c>
      <c r="S538" s="8" t="str">
        <f>IF(Table13[[#This Row],[valence]]&gt;=0.6, "Happy", IF(Table13[[#This Row],[valence]]&gt;=0.4, "Neutral", "Sad"))</f>
        <v>Sad</v>
      </c>
      <c r="T538" s="8" t="str">
        <f>IF(Table13[[#This Row],[energy]]&gt;=0.7, "High Energy", IF(Table13[[#This Row],[energy]]&gt;=0.4, "Medium Energy", "Low Energy"))</f>
        <v>Medium Energy</v>
      </c>
      <c r="U538" s="17" t="str">
        <f>IF(Table13[[#This Row],[popularity]]&gt;70, "Popular", IF(Table13[[#This Row],[popularity]]&lt;40, "Less Popular", "Mid"))</f>
        <v>Mid</v>
      </c>
    </row>
    <row r="539" spans="2:21" x14ac:dyDescent="0.3">
      <c r="B539" s="8" t="s">
        <v>540</v>
      </c>
      <c r="C539" s="8" t="s">
        <v>696</v>
      </c>
      <c r="D539" s="9">
        <v>39763</v>
      </c>
      <c r="E539" s="8">
        <v>13</v>
      </c>
      <c r="F539" s="8">
        <v>0.2590277777777778</v>
      </c>
      <c r="G539" s="8">
        <v>0.34583333333333338</v>
      </c>
      <c r="H539" s="8">
        <v>0.33749999999999997</v>
      </c>
      <c r="I539" s="11">
        <v>0</v>
      </c>
      <c r="J539" s="8">
        <v>7.8472222222222221E-2</v>
      </c>
      <c r="K539" s="10">
        <v>-7384</v>
      </c>
      <c r="L539" s="8">
        <v>0.18958333333333333</v>
      </c>
      <c r="M539" s="10">
        <v>147952</v>
      </c>
      <c r="N539" s="11">
        <v>1.1805555555555555E-2</v>
      </c>
      <c r="O539" s="8">
        <v>38</v>
      </c>
      <c r="P539" s="8">
        <v>263986</v>
      </c>
      <c r="Q539" s="8">
        <f>YEAR(Table13[[#This Row],[release_date]])</f>
        <v>2008</v>
      </c>
      <c r="R539" s="8">
        <f>ROUND(Table13[[#This Row],[duration_ms]]/60000,2)</f>
        <v>4.4000000000000004</v>
      </c>
      <c r="S539" s="8" t="str">
        <f>IF(Table13[[#This Row],[valence]]&gt;=0.6, "Happy", IF(Table13[[#This Row],[valence]]&gt;=0.4, "Neutral", "Sad"))</f>
        <v>Sad</v>
      </c>
      <c r="T539" s="8" t="str">
        <f>IF(Table13[[#This Row],[energy]]&gt;=0.7, "High Energy", IF(Table13[[#This Row],[energy]]&gt;=0.4, "Medium Energy", "Low Energy"))</f>
        <v>Low Energy</v>
      </c>
      <c r="U539" s="17" t="str">
        <f>IF(Table13[[#This Row],[popularity]]&gt;70, "Popular", IF(Table13[[#This Row],[popularity]]&lt;40, "Less Popular", "Mid"))</f>
        <v>Less Popular</v>
      </c>
    </row>
    <row r="540" spans="2:21" x14ac:dyDescent="0.3">
      <c r="B540" s="8" t="s">
        <v>711</v>
      </c>
      <c r="C540" s="8" t="s">
        <v>696</v>
      </c>
      <c r="D540" s="9">
        <v>39763</v>
      </c>
      <c r="E540" s="8">
        <v>14</v>
      </c>
      <c r="F540" s="8">
        <v>0.42083333333333334</v>
      </c>
      <c r="G540" s="8">
        <v>0.41736111111111113</v>
      </c>
      <c r="H540" s="8">
        <v>0.59166666666666667</v>
      </c>
      <c r="I540" s="8" t="s">
        <v>712</v>
      </c>
      <c r="J540" s="11">
        <v>2.5694444444444447E-2</v>
      </c>
      <c r="K540" s="10">
        <v>-3096</v>
      </c>
      <c r="L540" s="8">
        <v>0.26805555555555555</v>
      </c>
      <c r="M540" s="10">
        <v>100015</v>
      </c>
      <c r="N540" s="8">
        <v>0.35625000000000001</v>
      </c>
      <c r="O540" s="8">
        <v>40</v>
      </c>
      <c r="P540" s="8">
        <v>200560</v>
      </c>
      <c r="Q540" s="8">
        <f>YEAR(Table13[[#This Row],[release_date]])</f>
        <v>2008</v>
      </c>
      <c r="R540" s="8">
        <f>ROUND(Table13[[#This Row],[duration_ms]]/60000,2)</f>
        <v>3.34</v>
      </c>
      <c r="S540" s="8" t="str">
        <f>IF(Table13[[#This Row],[valence]]&gt;=0.6, "Happy", IF(Table13[[#This Row],[valence]]&gt;=0.4, "Neutral", "Sad"))</f>
        <v>Sad</v>
      </c>
      <c r="T540" s="8" t="str">
        <f>IF(Table13[[#This Row],[energy]]&gt;=0.7, "High Energy", IF(Table13[[#This Row],[energy]]&gt;=0.4, "Medium Energy", "Low Energy"))</f>
        <v>Medium Energy</v>
      </c>
      <c r="U540" s="17" t="str">
        <f>IF(Table13[[#This Row],[popularity]]&gt;70, "Popular", IF(Table13[[#This Row],[popularity]]&lt;40, "Less Popular", "Mid"))</f>
        <v>Mid</v>
      </c>
    </row>
    <row r="541" spans="2:21" x14ac:dyDescent="0.3">
      <c r="B541" s="8" t="s">
        <v>713</v>
      </c>
      <c r="C541" s="8" t="s">
        <v>696</v>
      </c>
      <c r="D541" s="9">
        <v>39763</v>
      </c>
      <c r="E541" s="8">
        <v>15</v>
      </c>
      <c r="F541" s="11">
        <v>9.0277777777777787E-3</v>
      </c>
      <c r="G541" s="8">
        <v>0.31875000000000003</v>
      </c>
      <c r="H541" s="8">
        <v>0.31875000000000003</v>
      </c>
      <c r="I541" s="8" t="s">
        <v>714</v>
      </c>
      <c r="J541" s="8">
        <v>7.8472222222222221E-2</v>
      </c>
      <c r="K541" s="10">
        <v>-4126</v>
      </c>
      <c r="L541" s="8">
        <v>0.19097222222222221</v>
      </c>
      <c r="M541" s="10">
        <v>134018</v>
      </c>
      <c r="N541" s="8">
        <v>0.19513888888888889</v>
      </c>
      <c r="O541" s="8">
        <v>42</v>
      </c>
      <c r="P541" s="8">
        <v>261800</v>
      </c>
      <c r="Q541" s="8">
        <f>YEAR(Table13[[#This Row],[release_date]])</f>
        <v>2008</v>
      </c>
      <c r="R541" s="8">
        <f>ROUND(Table13[[#This Row],[duration_ms]]/60000,2)</f>
        <v>4.3600000000000003</v>
      </c>
      <c r="S541" s="8" t="str">
        <f>IF(Table13[[#This Row],[valence]]&gt;=0.6, "Happy", IF(Table13[[#This Row],[valence]]&gt;=0.4, "Neutral", "Sad"))</f>
        <v>Sad</v>
      </c>
      <c r="T541" s="8" t="str">
        <f>IF(Table13[[#This Row],[energy]]&gt;=0.7, "High Energy", IF(Table13[[#This Row],[energy]]&gt;=0.4, "Medium Energy", "Low Energy"))</f>
        <v>Low Energy</v>
      </c>
      <c r="U541" s="17" t="str">
        <f>IF(Table13[[#This Row],[popularity]]&gt;70, "Popular", IF(Table13[[#This Row],[popularity]]&lt;40, "Less Popular", "Mid"))</f>
        <v>Mid</v>
      </c>
    </row>
    <row r="542" spans="2:21" x14ac:dyDescent="0.3">
      <c r="B542" s="8" t="s">
        <v>715</v>
      </c>
      <c r="C542" s="8" t="s">
        <v>696</v>
      </c>
      <c r="D542" s="9">
        <v>39763</v>
      </c>
      <c r="E542" s="8">
        <v>16</v>
      </c>
      <c r="F542" s="8">
        <v>0.22361111111111109</v>
      </c>
      <c r="G542" s="8">
        <v>0.30277777777777776</v>
      </c>
      <c r="H542" s="8">
        <v>0.49444444444444446</v>
      </c>
      <c r="I542" s="11">
        <v>0</v>
      </c>
      <c r="J542" s="8">
        <v>7.7083333333333337E-2</v>
      </c>
      <c r="K542" s="10">
        <v>-3689</v>
      </c>
      <c r="L542" s="8">
        <v>0.22847222222222222</v>
      </c>
      <c r="M542" s="10">
        <v>160886</v>
      </c>
      <c r="N542" s="8">
        <v>0.26319444444444445</v>
      </c>
      <c r="O542" s="8">
        <v>48</v>
      </c>
      <c r="P542" s="8">
        <v>244240</v>
      </c>
      <c r="Q542" s="8">
        <f>YEAR(Table13[[#This Row],[release_date]])</f>
        <v>2008</v>
      </c>
      <c r="R542" s="8">
        <f>ROUND(Table13[[#This Row],[duration_ms]]/60000,2)</f>
        <v>4.07</v>
      </c>
      <c r="S542" s="8" t="str">
        <f>IF(Table13[[#This Row],[valence]]&gt;=0.6, "Happy", IF(Table13[[#This Row],[valence]]&gt;=0.4, "Neutral", "Sad"))</f>
        <v>Sad</v>
      </c>
      <c r="T542" s="8" t="str">
        <f>IF(Table13[[#This Row],[energy]]&gt;=0.7, "High Energy", IF(Table13[[#This Row],[energy]]&gt;=0.4, "Medium Energy", "Low Energy"))</f>
        <v>Medium Energy</v>
      </c>
      <c r="U542" s="17" t="str">
        <f>IF(Table13[[#This Row],[popularity]]&gt;70, "Popular", IF(Table13[[#This Row],[popularity]]&lt;40, "Less Popular", "Mid"))</f>
        <v>Mid</v>
      </c>
    </row>
    <row r="543" spans="2:21" x14ac:dyDescent="0.3">
      <c r="B543" s="8" t="s">
        <v>551</v>
      </c>
      <c r="C543" s="8" t="s">
        <v>696</v>
      </c>
      <c r="D543" s="9">
        <v>39763</v>
      </c>
      <c r="E543" s="8">
        <v>17</v>
      </c>
      <c r="F543" s="8">
        <v>0.62986111111111109</v>
      </c>
      <c r="G543" s="8">
        <v>0.4201388888888889</v>
      </c>
      <c r="H543" s="8">
        <v>0.5756944444444444</v>
      </c>
      <c r="I543" s="11">
        <v>0</v>
      </c>
      <c r="J543" s="8">
        <v>7.3611111111111113E-2</v>
      </c>
      <c r="K543" s="10">
        <v>-4993</v>
      </c>
      <c r="L543" s="8">
        <v>0.38125000000000003</v>
      </c>
      <c r="M543" s="10">
        <v>128012</v>
      </c>
      <c r="N543" s="8">
        <v>0.35694444444444445</v>
      </c>
      <c r="O543" s="8">
        <v>43</v>
      </c>
      <c r="P543" s="8">
        <v>225333</v>
      </c>
      <c r="Q543" s="8">
        <f>YEAR(Table13[[#This Row],[release_date]])</f>
        <v>2008</v>
      </c>
      <c r="R543" s="8">
        <f>ROUND(Table13[[#This Row],[duration_ms]]/60000,2)</f>
        <v>3.76</v>
      </c>
      <c r="S543" s="8" t="str">
        <f>IF(Table13[[#This Row],[valence]]&gt;=0.6, "Happy", IF(Table13[[#This Row],[valence]]&gt;=0.4, "Neutral", "Sad"))</f>
        <v>Sad</v>
      </c>
      <c r="T543" s="8" t="str">
        <f>IF(Table13[[#This Row],[energy]]&gt;=0.7, "High Energy", IF(Table13[[#This Row],[energy]]&gt;=0.4, "Medium Energy", "Low Energy"))</f>
        <v>Medium Energy</v>
      </c>
      <c r="U543" s="17" t="str">
        <f>IF(Table13[[#This Row],[popularity]]&gt;70, "Popular", IF(Table13[[#This Row],[popularity]]&lt;40, "Less Popular", "Mid"))</f>
        <v>Mid</v>
      </c>
    </row>
    <row r="544" spans="2:21" x14ac:dyDescent="0.3">
      <c r="B544" s="8" t="s">
        <v>484</v>
      </c>
      <c r="C544" s="8" t="s">
        <v>696</v>
      </c>
      <c r="D544" s="9">
        <v>39763</v>
      </c>
      <c r="E544" s="8">
        <v>18</v>
      </c>
      <c r="F544" s="8">
        <v>0.42430555555555555</v>
      </c>
      <c r="G544" s="8">
        <v>0.46111111111111108</v>
      </c>
      <c r="H544" s="8">
        <v>0.31041666666666667</v>
      </c>
      <c r="I544" s="12">
        <v>9.9999999999999995E-7</v>
      </c>
      <c r="J544" s="8">
        <v>9.6527777777777782E-2</v>
      </c>
      <c r="K544" s="10">
        <v>-8535</v>
      </c>
      <c r="L544" s="8">
        <v>0.20277777777777775</v>
      </c>
      <c r="M544" s="10">
        <v>126079</v>
      </c>
      <c r="N544" s="8">
        <v>0.25277777777777777</v>
      </c>
      <c r="O544" s="8">
        <v>40</v>
      </c>
      <c r="P544" s="8">
        <v>245346</v>
      </c>
      <c r="Q544" s="8">
        <f>YEAR(Table13[[#This Row],[release_date]])</f>
        <v>2008</v>
      </c>
      <c r="R544" s="8">
        <f>ROUND(Table13[[#This Row],[duration_ms]]/60000,2)</f>
        <v>4.09</v>
      </c>
      <c r="S544" s="8" t="str">
        <f>IF(Table13[[#This Row],[valence]]&gt;=0.6, "Happy", IF(Table13[[#This Row],[valence]]&gt;=0.4, "Neutral", "Sad"))</f>
        <v>Sad</v>
      </c>
      <c r="T544" s="8" t="str">
        <f>IF(Table13[[#This Row],[energy]]&gt;=0.7, "High Energy", IF(Table13[[#This Row],[energy]]&gt;=0.4, "Medium Energy", "Low Energy"))</f>
        <v>Low Energy</v>
      </c>
      <c r="U544" s="17" t="str">
        <f>IF(Table13[[#This Row],[popularity]]&gt;70, "Popular", IF(Table13[[#This Row],[popularity]]&lt;40, "Less Popular", "Mid"))</f>
        <v>Mid</v>
      </c>
    </row>
    <row r="545" spans="2:21" x14ac:dyDescent="0.3">
      <c r="B545" s="8" t="s">
        <v>526</v>
      </c>
      <c r="C545" s="8" t="s">
        <v>696</v>
      </c>
      <c r="D545" s="9">
        <v>39763</v>
      </c>
      <c r="E545" s="8">
        <v>19</v>
      </c>
      <c r="F545" s="8" t="s">
        <v>534</v>
      </c>
      <c r="G545" s="8">
        <v>0.38055555555555554</v>
      </c>
      <c r="H545" s="8">
        <v>0.52500000000000002</v>
      </c>
      <c r="I545" s="11">
        <v>0</v>
      </c>
      <c r="J545" s="8">
        <v>8.1250000000000003E-2</v>
      </c>
      <c r="K545" s="10">
        <v>-4175</v>
      </c>
      <c r="L545" s="8" t="s">
        <v>716</v>
      </c>
      <c r="M545" s="10">
        <v>96038</v>
      </c>
      <c r="N545" s="8">
        <v>0.15555555555555556</v>
      </c>
      <c r="O545" s="8">
        <v>40</v>
      </c>
      <c r="P545" s="8">
        <v>281053</v>
      </c>
      <c r="Q545" s="8">
        <f>YEAR(Table13[[#This Row],[release_date]])</f>
        <v>2008</v>
      </c>
      <c r="R545" s="8">
        <f>ROUND(Table13[[#This Row],[duration_ms]]/60000,2)</f>
        <v>4.68</v>
      </c>
      <c r="S545" s="8" t="str">
        <f>IF(Table13[[#This Row],[valence]]&gt;=0.6, "Happy", IF(Table13[[#This Row],[valence]]&gt;=0.4, "Neutral", "Sad"))</f>
        <v>Sad</v>
      </c>
      <c r="T545" s="8" t="str">
        <f>IF(Table13[[#This Row],[energy]]&gt;=0.7, "High Energy", IF(Table13[[#This Row],[energy]]&gt;=0.4, "Medium Energy", "Low Energy"))</f>
        <v>Medium Energy</v>
      </c>
      <c r="U545" s="17" t="str">
        <f>IF(Table13[[#This Row],[popularity]]&gt;70, "Popular", IF(Table13[[#This Row],[popularity]]&lt;40, "Less Popular", "Mid"))</f>
        <v>Mid</v>
      </c>
    </row>
    <row r="546" spans="2:21" x14ac:dyDescent="0.3">
      <c r="B546" s="8" t="s">
        <v>523</v>
      </c>
      <c r="C546" s="8" t="s">
        <v>717</v>
      </c>
      <c r="D546" s="9">
        <v>39763</v>
      </c>
      <c r="E546" s="8">
        <v>1</v>
      </c>
      <c r="F546" s="8">
        <v>0.31180555555555556</v>
      </c>
      <c r="G546" s="8">
        <v>0.41180555555555554</v>
      </c>
      <c r="H546" s="8">
        <v>0.48958333333333331</v>
      </c>
      <c r="I546" s="11">
        <v>0</v>
      </c>
      <c r="J546" s="8">
        <v>0.21458333333333335</v>
      </c>
      <c r="K546" s="8" t="s">
        <v>718</v>
      </c>
      <c r="L546" s="8">
        <v>0.18680555555555556</v>
      </c>
      <c r="M546" s="14">
        <v>4.1743055555555557</v>
      </c>
      <c r="N546" s="8">
        <v>0.32777777777777778</v>
      </c>
      <c r="O546" s="8">
        <v>36</v>
      </c>
      <c r="P546" s="8">
        <v>242373</v>
      </c>
      <c r="Q546" s="8">
        <f>YEAR(Table13[[#This Row],[release_date]])</f>
        <v>2008</v>
      </c>
      <c r="R546" s="8">
        <f>ROUND(Table13[[#This Row],[duration_ms]]/60000,2)</f>
        <v>4.04</v>
      </c>
      <c r="S546" s="8" t="str">
        <f>IF(Table13[[#This Row],[valence]]&gt;=0.6, "Happy", IF(Table13[[#This Row],[valence]]&gt;=0.4, "Neutral", "Sad"))</f>
        <v>Sad</v>
      </c>
      <c r="T546" s="8" t="str">
        <f>IF(Table13[[#This Row],[energy]]&gt;=0.7, "High Energy", IF(Table13[[#This Row],[energy]]&gt;=0.4, "Medium Energy", "Low Energy"))</f>
        <v>Medium Energy</v>
      </c>
      <c r="U546" s="17" t="str">
        <f>IF(Table13[[#This Row],[popularity]]&gt;70, "Popular", IF(Table13[[#This Row],[popularity]]&lt;40, "Less Popular", "Mid"))</f>
        <v>Less Popular</v>
      </c>
    </row>
    <row r="547" spans="2:21" x14ac:dyDescent="0.3">
      <c r="B547" s="8" t="s">
        <v>505</v>
      </c>
      <c r="C547" s="8" t="s">
        <v>717</v>
      </c>
      <c r="D547" s="9">
        <v>39763</v>
      </c>
      <c r="E547" s="8">
        <v>2</v>
      </c>
      <c r="F547" s="8" t="s">
        <v>719</v>
      </c>
      <c r="G547" s="8">
        <v>0.38541666666666669</v>
      </c>
      <c r="H547" s="8">
        <v>0.45</v>
      </c>
      <c r="I547" s="11">
        <v>0</v>
      </c>
      <c r="J547" s="8">
        <v>9.930555555555555E-2</v>
      </c>
      <c r="K547" s="10">
        <v>-4419</v>
      </c>
      <c r="L547" s="8" t="s">
        <v>506</v>
      </c>
      <c r="M547" s="10">
        <v>95431</v>
      </c>
      <c r="N547" s="8">
        <v>0.14375000000000002</v>
      </c>
      <c r="O547" s="8">
        <v>32</v>
      </c>
      <c r="P547" s="8">
        <v>294306</v>
      </c>
      <c r="Q547" s="8">
        <f>YEAR(Table13[[#This Row],[release_date]])</f>
        <v>2008</v>
      </c>
      <c r="R547" s="8">
        <f>ROUND(Table13[[#This Row],[duration_ms]]/60000,2)</f>
        <v>4.91</v>
      </c>
      <c r="S547" s="8" t="str">
        <f>IF(Table13[[#This Row],[valence]]&gt;=0.6, "Happy", IF(Table13[[#This Row],[valence]]&gt;=0.4, "Neutral", "Sad"))</f>
        <v>Sad</v>
      </c>
      <c r="T547" s="8" t="str">
        <f>IF(Table13[[#This Row],[energy]]&gt;=0.7, "High Energy", IF(Table13[[#This Row],[energy]]&gt;=0.4, "Medium Energy", "Low Energy"))</f>
        <v>Medium Energy</v>
      </c>
      <c r="U547" s="17" t="str">
        <f>IF(Table13[[#This Row],[popularity]]&gt;70, "Popular", IF(Table13[[#This Row],[popularity]]&lt;40, "Less Popular", "Mid"))</f>
        <v>Less Popular</v>
      </c>
    </row>
    <row r="548" spans="2:21" x14ac:dyDescent="0.3">
      <c r="B548" s="8" t="s">
        <v>707</v>
      </c>
      <c r="C548" s="8" t="s">
        <v>717</v>
      </c>
      <c r="D548" s="9">
        <v>39763</v>
      </c>
      <c r="E548" s="8">
        <v>3</v>
      </c>
      <c r="F548" s="8">
        <v>0.12916666666666668</v>
      </c>
      <c r="G548" s="8">
        <v>4.3055555555555562E-2</v>
      </c>
      <c r="H548" s="8">
        <v>0.44375000000000003</v>
      </c>
      <c r="I548" s="8" t="s">
        <v>176</v>
      </c>
      <c r="J548" s="8">
        <v>0.14305555555555555</v>
      </c>
      <c r="K548" s="10">
        <v>-5398</v>
      </c>
      <c r="L548" s="8">
        <v>0.19791666666666666</v>
      </c>
      <c r="M548" s="10">
        <v>119055</v>
      </c>
      <c r="N548" s="11">
        <v>2.361111111111111E-2</v>
      </c>
      <c r="O548" s="8">
        <v>46</v>
      </c>
      <c r="P548" s="8">
        <v>233933</v>
      </c>
      <c r="Q548" s="8">
        <f>YEAR(Table13[[#This Row],[release_date]])</f>
        <v>2008</v>
      </c>
      <c r="R548" s="8">
        <f>ROUND(Table13[[#This Row],[duration_ms]]/60000,2)</f>
        <v>3.9</v>
      </c>
      <c r="S548" s="8" t="str">
        <f>IF(Table13[[#This Row],[valence]]&gt;=0.6, "Happy", IF(Table13[[#This Row],[valence]]&gt;=0.4, "Neutral", "Sad"))</f>
        <v>Sad</v>
      </c>
      <c r="T548" s="8" t="str">
        <f>IF(Table13[[#This Row],[energy]]&gt;=0.7, "High Energy", IF(Table13[[#This Row],[energy]]&gt;=0.4, "Medium Energy", "Low Energy"))</f>
        <v>Medium Energy</v>
      </c>
      <c r="U548" s="17" t="str">
        <f>IF(Table13[[#This Row],[popularity]]&gt;70, "Popular", IF(Table13[[#This Row],[popularity]]&lt;40, "Less Popular", "Mid"))</f>
        <v>Mid</v>
      </c>
    </row>
    <row r="549" spans="2:21" x14ac:dyDescent="0.3">
      <c r="B549" s="8" t="s">
        <v>553</v>
      </c>
      <c r="C549" s="8" t="s">
        <v>717</v>
      </c>
      <c r="D549" s="9">
        <v>39763</v>
      </c>
      <c r="E549" s="8">
        <v>4</v>
      </c>
      <c r="F549" s="8">
        <v>0.12083333333333333</v>
      </c>
      <c r="G549" s="8">
        <v>0.5854166666666667</v>
      </c>
      <c r="H549" s="8">
        <v>0.37708333333333338</v>
      </c>
      <c r="I549" s="8" t="s">
        <v>720</v>
      </c>
      <c r="J549" s="8">
        <v>0.67222222222222217</v>
      </c>
      <c r="K549" s="10">
        <v>-7364</v>
      </c>
      <c r="L549" s="8">
        <v>0.22013888888888888</v>
      </c>
      <c r="M549" s="14">
        <v>4.833333333333333</v>
      </c>
      <c r="N549" s="8">
        <v>0.57361111111111118</v>
      </c>
      <c r="O549" s="8">
        <v>30</v>
      </c>
      <c r="P549" s="8">
        <v>254680</v>
      </c>
      <c r="Q549" s="8">
        <f>YEAR(Table13[[#This Row],[release_date]])</f>
        <v>2008</v>
      </c>
      <c r="R549" s="8">
        <f>ROUND(Table13[[#This Row],[duration_ms]]/60000,2)</f>
        <v>4.24</v>
      </c>
      <c r="S549" s="8" t="str">
        <f>IF(Table13[[#This Row],[valence]]&gt;=0.6, "Happy", IF(Table13[[#This Row],[valence]]&gt;=0.4, "Neutral", "Sad"))</f>
        <v>Neutral</v>
      </c>
      <c r="T549" s="8" t="str">
        <f>IF(Table13[[#This Row],[energy]]&gt;=0.7, "High Energy", IF(Table13[[#This Row],[energy]]&gt;=0.4, "Medium Energy", "Low Energy"))</f>
        <v>Low Energy</v>
      </c>
      <c r="U549" s="17" t="str">
        <f>IF(Table13[[#This Row],[popularity]]&gt;70, "Popular", IF(Table13[[#This Row],[popularity]]&lt;40, "Less Popular", "Mid"))</f>
        <v>Less Popular</v>
      </c>
    </row>
    <row r="550" spans="2:21" x14ac:dyDescent="0.3">
      <c r="B550" s="8" t="s">
        <v>557</v>
      </c>
      <c r="C550" s="8" t="s">
        <v>717</v>
      </c>
      <c r="D550" s="9">
        <v>39763</v>
      </c>
      <c r="E550" s="8">
        <v>5</v>
      </c>
      <c r="F550" s="8">
        <v>0.20694444444444446</v>
      </c>
      <c r="G550" s="8">
        <v>0.40763888888888888</v>
      </c>
      <c r="H550" s="8">
        <v>0.23750000000000002</v>
      </c>
      <c r="I550" s="11">
        <v>0</v>
      </c>
      <c r="J550" s="8">
        <v>7.3611111111111113E-2</v>
      </c>
      <c r="K550" s="10">
        <v>-8034</v>
      </c>
      <c r="L550" s="8">
        <v>0.17847222222222223</v>
      </c>
      <c r="M550" s="8" t="s">
        <v>721</v>
      </c>
      <c r="N550" s="8">
        <v>0.14722222222222223</v>
      </c>
      <c r="O550" s="8">
        <v>33</v>
      </c>
      <c r="P550" s="8">
        <v>233560</v>
      </c>
      <c r="Q550" s="8">
        <f>YEAR(Table13[[#This Row],[release_date]])</f>
        <v>2008</v>
      </c>
      <c r="R550" s="8">
        <f>ROUND(Table13[[#This Row],[duration_ms]]/60000,2)</f>
        <v>3.89</v>
      </c>
      <c r="S550" s="8" t="str">
        <f>IF(Table13[[#This Row],[valence]]&gt;=0.6, "Happy", IF(Table13[[#This Row],[valence]]&gt;=0.4, "Neutral", "Sad"))</f>
        <v>Sad</v>
      </c>
      <c r="T550" s="8" t="str">
        <f>IF(Table13[[#This Row],[energy]]&gt;=0.7, "High Energy", IF(Table13[[#This Row],[energy]]&gt;=0.4, "Medium Energy", "Low Energy"))</f>
        <v>Low Energy</v>
      </c>
      <c r="U550" s="17" t="str">
        <f>IF(Table13[[#This Row],[popularity]]&gt;70, "Popular", IF(Table13[[#This Row],[popularity]]&lt;40, "Less Popular", "Mid"))</f>
        <v>Less Popular</v>
      </c>
    </row>
    <row r="551" spans="2:21" x14ac:dyDescent="0.3">
      <c r="B551" s="8" t="s">
        <v>710</v>
      </c>
      <c r="C551" s="8" t="s">
        <v>717</v>
      </c>
      <c r="D551" s="9">
        <v>39763</v>
      </c>
      <c r="E551" s="8">
        <v>6</v>
      </c>
      <c r="F551" s="8">
        <v>0.10486111111111111</v>
      </c>
      <c r="G551" s="8">
        <v>0.4777777777777778</v>
      </c>
      <c r="H551" s="8">
        <v>0.53819444444444442</v>
      </c>
      <c r="I551" s="8" t="s">
        <v>722</v>
      </c>
      <c r="J551" s="8">
        <v>7.2222222222222229E-2</v>
      </c>
      <c r="K551" s="10">
        <v>-4436</v>
      </c>
      <c r="L551" s="8">
        <v>0.26458333333333334</v>
      </c>
      <c r="M551" s="10">
        <v>129969</v>
      </c>
      <c r="N551" s="8">
        <v>0.32569444444444445</v>
      </c>
      <c r="O551" s="8">
        <v>45</v>
      </c>
      <c r="P551" s="8">
        <v>230506</v>
      </c>
      <c r="Q551" s="8">
        <f>YEAR(Table13[[#This Row],[release_date]])</f>
        <v>2008</v>
      </c>
      <c r="R551" s="8">
        <f>ROUND(Table13[[#This Row],[duration_ms]]/60000,2)</f>
        <v>3.84</v>
      </c>
      <c r="S551" s="8" t="str">
        <f>IF(Table13[[#This Row],[valence]]&gt;=0.6, "Happy", IF(Table13[[#This Row],[valence]]&gt;=0.4, "Neutral", "Sad"))</f>
        <v>Sad</v>
      </c>
      <c r="T551" s="8" t="str">
        <f>IF(Table13[[#This Row],[energy]]&gt;=0.7, "High Energy", IF(Table13[[#This Row],[energy]]&gt;=0.4, "Medium Energy", "Low Energy"))</f>
        <v>Medium Energy</v>
      </c>
      <c r="U551" s="17" t="str">
        <f>IF(Table13[[#This Row],[popularity]]&gt;70, "Popular", IF(Table13[[#This Row],[popularity]]&lt;40, "Less Popular", "Mid"))</f>
        <v>Mid</v>
      </c>
    </row>
    <row r="552" spans="2:21" x14ac:dyDescent="0.3">
      <c r="B552" s="8" t="s">
        <v>540</v>
      </c>
      <c r="C552" s="8" t="s">
        <v>717</v>
      </c>
      <c r="D552" s="9">
        <v>39763</v>
      </c>
      <c r="E552" s="8">
        <v>7</v>
      </c>
      <c r="F552" s="8">
        <v>0.27013888888888887</v>
      </c>
      <c r="G552" s="8">
        <v>0.33888888888888885</v>
      </c>
      <c r="H552" s="8">
        <v>0.32777777777777778</v>
      </c>
      <c r="I552" s="11">
        <v>0</v>
      </c>
      <c r="J552" s="8">
        <v>8.6805555555555566E-2</v>
      </c>
      <c r="K552" s="8" t="s">
        <v>723</v>
      </c>
      <c r="L552" s="8">
        <v>0.19097222222222221</v>
      </c>
      <c r="M552" s="10">
        <v>147926</v>
      </c>
      <c r="N552" s="8">
        <v>0.11319444444444444</v>
      </c>
      <c r="O552" s="8">
        <v>31</v>
      </c>
      <c r="P552" s="8">
        <v>263720</v>
      </c>
      <c r="Q552" s="8">
        <f>YEAR(Table13[[#This Row],[release_date]])</f>
        <v>2008</v>
      </c>
      <c r="R552" s="8">
        <f>ROUND(Table13[[#This Row],[duration_ms]]/60000,2)</f>
        <v>4.4000000000000004</v>
      </c>
      <c r="S552" s="8" t="str">
        <f>IF(Table13[[#This Row],[valence]]&gt;=0.6, "Happy", IF(Table13[[#This Row],[valence]]&gt;=0.4, "Neutral", "Sad"))</f>
        <v>Sad</v>
      </c>
      <c r="T552" s="8" t="str">
        <f>IF(Table13[[#This Row],[energy]]&gt;=0.7, "High Energy", IF(Table13[[#This Row],[energy]]&gt;=0.4, "Medium Energy", "Low Energy"))</f>
        <v>Low Energy</v>
      </c>
      <c r="U552" s="17" t="str">
        <f>IF(Table13[[#This Row],[popularity]]&gt;70, "Popular", IF(Table13[[#This Row],[popularity]]&lt;40, "Less Popular", "Mid"))</f>
        <v>Less Popular</v>
      </c>
    </row>
    <row r="553" spans="2:21" x14ac:dyDescent="0.3">
      <c r="B553" s="8" t="s">
        <v>711</v>
      </c>
      <c r="C553" s="8" t="s">
        <v>717</v>
      </c>
      <c r="D553" s="9">
        <v>39763</v>
      </c>
      <c r="E553" s="8">
        <v>8</v>
      </c>
      <c r="F553" s="8">
        <v>0.42430555555555555</v>
      </c>
      <c r="G553" s="8">
        <v>0.42083333333333334</v>
      </c>
      <c r="H553" s="8">
        <v>0.58888888888888891</v>
      </c>
      <c r="I553" s="8" t="s">
        <v>724</v>
      </c>
      <c r="J553" s="8">
        <v>0.25972222222222224</v>
      </c>
      <c r="K553" s="10">
        <v>-3058</v>
      </c>
      <c r="L553" s="8">
        <v>0.25972222222222224</v>
      </c>
      <c r="M553" s="10">
        <v>99999</v>
      </c>
      <c r="N553" s="8">
        <v>0.33055555555555555</v>
      </c>
      <c r="O553" s="8">
        <v>27</v>
      </c>
      <c r="P553" s="8">
        <v>200213</v>
      </c>
      <c r="Q553" s="8">
        <f>YEAR(Table13[[#This Row],[release_date]])</f>
        <v>2008</v>
      </c>
      <c r="R553" s="8">
        <f>ROUND(Table13[[#This Row],[duration_ms]]/60000,2)</f>
        <v>3.34</v>
      </c>
      <c r="S553" s="8" t="str">
        <f>IF(Table13[[#This Row],[valence]]&gt;=0.6, "Happy", IF(Table13[[#This Row],[valence]]&gt;=0.4, "Neutral", "Sad"))</f>
        <v>Sad</v>
      </c>
      <c r="T553" s="8" t="str">
        <f>IF(Table13[[#This Row],[energy]]&gt;=0.7, "High Energy", IF(Table13[[#This Row],[energy]]&gt;=0.4, "Medium Energy", "Low Energy"))</f>
        <v>Medium Energy</v>
      </c>
      <c r="U553" s="17" t="str">
        <f>IF(Table13[[#This Row],[popularity]]&gt;70, "Popular", IF(Table13[[#This Row],[popularity]]&lt;40, "Less Popular", "Mid"))</f>
        <v>Less Popular</v>
      </c>
    </row>
    <row r="554" spans="2:21" x14ac:dyDescent="0.3">
      <c r="B554" s="8" t="s">
        <v>713</v>
      </c>
      <c r="C554" s="8" t="s">
        <v>717</v>
      </c>
      <c r="D554" s="9">
        <v>39763</v>
      </c>
      <c r="E554" s="8">
        <v>9</v>
      </c>
      <c r="F554" s="8">
        <v>0.10069444444444443</v>
      </c>
      <c r="G554" s="8">
        <v>0.32708333333333334</v>
      </c>
      <c r="H554" s="8">
        <v>0.31805555555555559</v>
      </c>
      <c r="I554" s="8" t="s">
        <v>725</v>
      </c>
      <c r="J554" s="8">
        <v>7.4999999999999997E-2</v>
      </c>
      <c r="K554" s="10">
        <v>-4137</v>
      </c>
      <c r="L554" s="8" t="s">
        <v>506</v>
      </c>
      <c r="M554" s="8" t="s">
        <v>726</v>
      </c>
      <c r="N554" s="8">
        <v>0.21458333333333335</v>
      </c>
      <c r="O554" s="8">
        <v>28</v>
      </c>
      <c r="P554" s="8">
        <v>261800</v>
      </c>
      <c r="Q554" s="8">
        <f>YEAR(Table13[[#This Row],[release_date]])</f>
        <v>2008</v>
      </c>
      <c r="R554" s="8">
        <f>ROUND(Table13[[#This Row],[duration_ms]]/60000,2)</f>
        <v>4.3600000000000003</v>
      </c>
      <c r="S554" s="8" t="str">
        <f>IF(Table13[[#This Row],[valence]]&gt;=0.6, "Happy", IF(Table13[[#This Row],[valence]]&gt;=0.4, "Neutral", "Sad"))</f>
        <v>Sad</v>
      </c>
      <c r="T554" s="8" t="str">
        <f>IF(Table13[[#This Row],[energy]]&gt;=0.7, "High Energy", IF(Table13[[#This Row],[energy]]&gt;=0.4, "Medium Energy", "Low Energy"))</f>
        <v>Low Energy</v>
      </c>
      <c r="U554" s="17" t="str">
        <f>IF(Table13[[#This Row],[popularity]]&gt;70, "Popular", IF(Table13[[#This Row],[popularity]]&lt;40, "Less Popular", "Mid"))</f>
        <v>Less Popular</v>
      </c>
    </row>
    <row r="555" spans="2:21" x14ac:dyDescent="0.3">
      <c r="B555" s="8" t="s">
        <v>715</v>
      </c>
      <c r="C555" s="8" t="s">
        <v>717</v>
      </c>
      <c r="D555" s="9">
        <v>39763</v>
      </c>
      <c r="E555" s="8">
        <v>10</v>
      </c>
      <c r="F555" s="8">
        <v>0.21875</v>
      </c>
      <c r="G555" s="8">
        <v>0.30138888888888887</v>
      </c>
      <c r="H555" s="8">
        <v>0.50208333333333333</v>
      </c>
      <c r="I555" s="11">
        <v>0</v>
      </c>
      <c r="J555" s="8">
        <v>8.6805555555555566E-2</v>
      </c>
      <c r="K555" s="10">
        <v>-3748</v>
      </c>
      <c r="L555" s="8">
        <v>0.23263888888888887</v>
      </c>
      <c r="M555" s="10">
        <v>160872</v>
      </c>
      <c r="N555" s="8">
        <v>0.28611111111111109</v>
      </c>
      <c r="O555" s="8">
        <v>31</v>
      </c>
      <c r="P555" s="8">
        <v>244626</v>
      </c>
      <c r="Q555" s="8">
        <f>YEAR(Table13[[#This Row],[release_date]])</f>
        <v>2008</v>
      </c>
      <c r="R555" s="8">
        <f>ROUND(Table13[[#This Row],[duration_ms]]/60000,2)</f>
        <v>4.08</v>
      </c>
      <c r="S555" s="8" t="str">
        <f>IF(Table13[[#This Row],[valence]]&gt;=0.6, "Happy", IF(Table13[[#This Row],[valence]]&gt;=0.4, "Neutral", "Sad"))</f>
        <v>Sad</v>
      </c>
      <c r="T555" s="8" t="str">
        <f>IF(Table13[[#This Row],[energy]]&gt;=0.7, "High Energy", IF(Table13[[#This Row],[energy]]&gt;=0.4, "Medium Energy", "Low Energy"))</f>
        <v>Medium Energy</v>
      </c>
      <c r="U555" s="17" t="str">
        <f>IF(Table13[[#This Row],[popularity]]&gt;70, "Popular", IF(Table13[[#This Row],[popularity]]&lt;40, "Less Popular", "Mid"))</f>
        <v>Less Popular</v>
      </c>
    </row>
    <row r="556" spans="2:21" x14ac:dyDescent="0.3">
      <c r="B556" s="8" t="s">
        <v>551</v>
      </c>
      <c r="C556" s="8" t="s">
        <v>717</v>
      </c>
      <c r="D556" s="9">
        <v>39763</v>
      </c>
      <c r="E556" s="8">
        <v>11</v>
      </c>
      <c r="F556" s="8">
        <v>0.54722222222222217</v>
      </c>
      <c r="G556" s="8">
        <v>0.41944444444444445</v>
      </c>
      <c r="H556" s="8">
        <v>0.56666666666666665</v>
      </c>
      <c r="I556" s="11">
        <v>0</v>
      </c>
      <c r="J556" s="8">
        <v>0.11388888888888889</v>
      </c>
      <c r="K556" s="10">
        <v>-5002</v>
      </c>
      <c r="L556" s="8">
        <v>0.37291666666666662</v>
      </c>
      <c r="M556" s="14">
        <v>5.333333333333333</v>
      </c>
      <c r="N556" s="11">
        <v>3.8194444444444441E-2</v>
      </c>
      <c r="O556" s="8">
        <v>28</v>
      </c>
      <c r="P556" s="8">
        <v>225000</v>
      </c>
      <c r="Q556" s="8">
        <f>YEAR(Table13[[#This Row],[release_date]])</f>
        <v>2008</v>
      </c>
      <c r="R556" s="8">
        <f>ROUND(Table13[[#This Row],[duration_ms]]/60000,2)</f>
        <v>3.75</v>
      </c>
      <c r="S556" s="8" t="str">
        <f>IF(Table13[[#This Row],[valence]]&gt;=0.6, "Happy", IF(Table13[[#This Row],[valence]]&gt;=0.4, "Neutral", "Sad"))</f>
        <v>Sad</v>
      </c>
      <c r="T556" s="8" t="str">
        <f>IF(Table13[[#This Row],[energy]]&gt;=0.7, "High Energy", IF(Table13[[#This Row],[energy]]&gt;=0.4, "Medium Energy", "Low Energy"))</f>
        <v>Medium Energy</v>
      </c>
      <c r="U556" s="17" t="str">
        <f>IF(Table13[[#This Row],[popularity]]&gt;70, "Popular", IF(Table13[[#This Row],[popularity]]&lt;40, "Less Popular", "Mid"))</f>
        <v>Less Popular</v>
      </c>
    </row>
    <row r="557" spans="2:21" x14ac:dyDescent="0.3">
      <c r="B557" s="8" t="s">
        <v>484</v>
      </c>
      <c r="C557" s="8" t="s">
        <v>717</v>
      </c>
      <c r="D557" s="9">
        <v>39763</v>
      </c>
      <c r="E557" s="8">
        <v>12</v>
      </c>
      <c r="F557" s="8">
        <v>0.45</v>
      </c>
      <c r="G557" s="8">
        <v>0.46597222222222223</v>
      </c>
      <c r="H557" s="11">
        <v>3.0555555555555555E-2</v>
      </c>
      <c r="I557" s="8" t="s">
        <v>727</v>
      </c>
      <c r="J557" s="8">
        <v>9.7916666666666666E-2</v>
      </c>
      <c r="K557" s="10">
        <v>-8561</v>
      </c>
      <c r="L557" s="8">
        <v>0.19930555555555554</v>
      </c>
      <c r="M557" s="10">
        <v>126059</v>
      </c>
      <c r="N557" s="8">
        <v>0.25555555555555559</v>
      </c>
      <c r="O557" s="8">
        <v>26</v>
      </c>
      <c r="P557" s="8">
        <v>245266</v>
      </c>
      <c r="Q557" s="8">
        <f>YEAR(Table13[[#This Row],[release_date]])</f>
        <v>2008</v>
      </c>
      <c r="R557" s="8">
        <f>ROUND(Table13[[#This Row],[duration_ms]]/60000,2)</f>
        <v>4.09</v>
      </c>
      <c r="S557" s="8" t="str">
        <f>IF(Table13[[#This Row],[valence]]&gt;=0.6, "Happy", IF(Table13[[#This Row],[valence]]&gt;=0.4, "Neutral", "Sad"))</f>
        <v>Sad</v>
      </c>
      <c r="T557" s="8" t="str">
        <f>IF(Table13[[#This Row],[energy]]&gt;=0.7, "High Energy", IF(Table13[[#This Row],[energy]]&gt;=0.4, "Medium Energy", "Low Energy"))</f>
        <v>Low Energy</v>
      </c>
      <c r="U557" s="17" t="str">
        <f>IF(Table13[[#This Row],[popularity]]&gt;70, "Popular", IF(Table13[[#This Row],[popularity]]&lt;40, "Less Popular", "Mid"))</f>
        <v>Less Popular</v>
      </c>
    </row>
    <row r="558" spans="2:21" x14ac:dyDescent="0.3">
      <c r="B558" s="8" t="s">
        <v>526</v>
      </c>
      <c r="C558" s="8" t="s">
        <v>717</v>
      </c>
      <c r="D558" s="9">
        <v>39763</v>
      </c>
      <c r="E558" s="8">
        <v>13</v>
      </c>
      <c r="F558" s="8" t="s">
        <v>467</v>
      </c>
      <c r="G558" s="8">
        <v>0.37847222222222227</v>
      </c>
      <c r="H558" s="8">
        <v>0.51874999999999993</v>
      </c>
      <c r="I558" s="11">
        <v>0</v>
      </c>
      <c r="J558" s="8">
        <v>7.9861111111111119E-2</v>
      </c>
      <c r="K558" s="10">
        <v>-4231</v>
      </c>
      <c r="L558" s="8" t="s">
        <v>728</v>
      </c>
      <c r="M558" s="10">
        <v>96017</v>
      </c>
      <c r="N558" s="8">
        <v>0.14861111111111111</v>
      </c>
      <c r="O558" s="8">
        <v>25</v>
      </c>
      <c r="P558" s="8">
        <v>278546</v>
      </c>
      <c r="Q558" s="8">
        <f>YEAR(Table13[[#This Row],[release_date]])</f>
        <v>2008</v>
      </c>
      <c r="R558" s="8">
        <f>ROUND(Table13[[#This Row],[duration_ms]]/60000,2)</f>
        <v>4.6399999999999997</v>
      </c>
      <c r="S558" s="8" t="str">
        <f>IF(Table13[[#This Row],[valence]]&gt;=0.6, "Happy", IF(Table13[[#This Row],[valence]]&gt;=0.4, "Neutral", "Sad"))</f>
        <v>Sad</v>
      </c>
      <c r="T558" s="8" t="str">
        <f>IF(Table13[[#This Row],[energy]]&gt;=0.7, "High Energy", IF(Table13[[#This Row],[energy]]&gt;=0.4, "Medium Energy", "Low Energy"))</f>
        <v>Medium Energy</v>
      </c>
      <c r="U558" s="17" t="str">
        <f>IF(Table13[[#This Row],[popularity]]&gt;70, "Popular", IF(Table13[[#This Row],[popularity]]&lt;40, "Less Popular", "Mid"))</f>
        <v>Less Popular</v>
      </c>
    </row>
    <row r="559" spans="2:21" x14ac:dyDescent="0.3">
      <c r="B559" s="8" t="s">
        <v>729</v>
      </c>
      <c r="C559" s="8" t="s">
        <v>717</v>
      </c>
      <c r="D559" s="9">
        <v>39763</v>
      </c>
      <c r="E559" s="8">
        <v>14</v>
      </c>
      <c r="F559" s="8" t="s">
        <v>730</v>
      </c>
      <c r="G559" s="8">
        <v>0.35833333333333334</v>
      </c>
      <c r="H559" s="8">
        <v>0.48333333333333334</v>
      </c>
      <c r="I559" s="8" t="s">
        <v>731</v>
      </c>
      <c r="J559" s="8">
        <v>0.24583333333333335</v>
      </c>
      <c r="K559" s="10">
        <v>-4833</v>
      </c>
      <c r="L559" s="8">
        <v>0.20902777777777778</v>
      </c>
      <c r="M559" s="10">
        <v>177936</v>
      </c>
      <c r="N559" s="8">
        <v>0.46111111111111108</v>
      </c>
      <c r="O559" s="8">
        <v>31</v>
      </c>
      <c r="P559" s="8">
        <v>199933</v>
      </c>
      <c r="Q559" s="8">
        <f>YEAR(Table13[[#This Row],[release_date]])</f>
        <v>2008</v>
      </c>
      <c r="R559" s="8">
        <f>ROUND(Table13[[#This Row],[duration_ms]]/60000,2)</f>
        <v>3.33</v>
      </c>
      <c r="S559" s="8" t="str">
        <f>IF(Table13[[#This Row],[valence]]&gt;=0.6, "Happy", IF(Table13[[#This Row],[valence]]&gt;=0.4, "Neutral", "Sad"))</f>
        <v>Neutral</v>
      </c>
      <c r="T559" s="8" t="str">
        <f>IF(Table13[[#This Row],[energy]]&gt;=0.7, "High Energy", IF(Table13[[#This Row],[energy]]&gt;=0.4, "Medium Energy", "Low Energy"))</f>
        <v>Medium Energy</v>
      </c>
      <c r="U559" s="17" t="str">
        <f>IF(Table13[[#This Row],[popularity]]&gt;70, "Popular", IF(Table13[[#This Row],[popularity]]&lt;40, "Less Popular", "Mid"))</f>
        <v>Less Popular</v>
      </c>
    </row>
    <row r="560" spans="2:21" x14ac:dyDescent="0.3">
      <c r="B560" s="8" t="s">
        <v>732</v>
      </c>
      <c r="C560" s="8" t="s">
        <v>717</v>
      </c>
      <c r="D560" s="9">
        <v>39763</v>
      </c>
      <c r="E560" s="8">
        <v>15</v>
      </c>
      <c r="F560" s="8">
        <v>0.12361111111111112</v>
      </c>
      <c r="G560" s="8">
        <v>0.35694444444444445</v>
      </c>
      <c r="H560" s="8">
        <v>0.38680555555555557</v>
      </c>
      <c r="I560" s="8" t="s">
        <v>733</v>
      </c>
      <c r="J560" s="8">
        <v>7.9166666666666663E-2</v>
      </c>
      <c r="K560" s="10">
        <v>-6307</v>
      </c>
      <c r="L560" s="8">
        <v>0.18333333333333335</v>
      </c>
      <c r="M560" s="10">
        <v>99974</v>
      </c>
      <c r="N560" s="8">
        <v>0.10555555555555556</v>
      </c>
      <c r="O560" s="8">
        <v>34</v>
      </c>
      <c r="P560" s="8">
        <v>193640</v>
      </c>
      <c r="Q560" s="8">
        <f>YEAR(Table13[[#This Row],[release_date]])</f>
        <v>2008</v>
      </c>
      <c r="R560" s="8">
        <f>ROUND(Table13[[#This Row],[duration_ms]]/60000,2)</f>
        <v>3.23</v>
      </c>
      <c r="S560" s="8" t="str">
        <f>IF(Table13[[#This Row],[valence]]&gt;=0.6, "Happy", IF(Table13[[#This Row],[valence]]&gt;=0.4, "Neutral", "Sad"))</f>
        <v>Sad</v>
      </c>
      <c r="T560" s="8" t="str">
        <f>IF(Table13[[#This Row],[energy]]&gt;=0.7, "High Energy", IF(Table13[[#This Row],[energy]]&gt;=0.4, "Medium Energy", "Low Energy"))</f>
        <v>Low Energy</v>
      </c>
      <c r="U560" s="17" t="str">
        <f>IF(Table13[[#This Row],[popularity]]&gt;70, "Popular", IF(Table13[[#This Row],[popularity]]&lt;40, "Less Popular", "Mid"))</f>
        <v>Less Popular</v>
      </c>
    </row>
    <row r="561" spans="2:21" x14ac:dyDescent="0.3">
      <c r="B561" s="8" t="s">
        <v>734</v>
      </c>
      <c r="C561" s="8" t="s">
        <v>717</v>
      </c>
      <c r="D561" s="9">
        <v>39763</v>
      </c>
      <c r="E561" s="8">
        <v>16</v>
      </c>
      <c r="F561" s="8" t="s">
        <v>735</v>
      </c>
      <c r="G561" s="8">
        <v>0.27638888888888891</v>
      </c>
      <c r="H561" s="8">
        <v>0.52847222222222223</v>
      </c>
      <c r="I561" s="8" t="s">
        <v>736</v>
      </c>
      <c r="J561" s="8">
        <v>0.16250000000000001</v>
      </c>
      <c r="K561" s="10">
        <v>-4382</v>
      </c>
      <c r="L561" s="8">
        <v>0.26180555555555557</v>
      </c>
      <c r="M561" s="10">
        <v>168092</v>
      </c>
      <c r="N561" s="8">
        <v>0.31527777777777777</v>
      </c>
      <c r="O561" s="8">
        <v>29</v>
      </c>
      <c r="P561" s="8">
        <v>245826</v>
      </c>
      <c r="Q561" s="8">
        <f>YEAR(Table13[[#This Row],[release_date]])</f>
        <v>2008</v>
      </c>
      <c r="R561" s="8">
        <f>ROUND(Table13[[#This Row],[duration_ms]]/60000,2)</f>
        <v>4.0999999999999996</v>
      </c>
      <c r="S561" s="8" t="str">
        <f>IF(Table13[[#This Row],[valence]]&gt;=0.6, "Happy", IF(Table13[[#This Row],[valence]]&gt;=0.4, "Neutral", "Sad"))</f>
        <v>Sad</v>
      </c>
      <c r="T561" s="8" t="str">
        <f>IF(Table13[[#This Row],[energy]]&gt;=0.7, "High Energy", IF(Table13[[#This Row],[energy]]&gt;=0.4, "Medium Energy", "Low Energy"))</f>
        <v>Medium Energy</v>
      </c>
      <c r="U561" s="17" t="str">
        <f>IF(Table13[[#This Row],[popularity]]&gt;70, "Popular", IF(Table13[[#This Row],[popularity]]&lt;40, "Less Popular", "Mid"))</f>
        <v>Less Popular</v>
      </c>
    </row>
    <row r="562" spans="2:21" x14ac:dyDescent="0.3">
      <c r="B562" s="8" t="s">
        <v>737</v>
      </c>
      <c r="C562" s="8" t="s">
        <v>738</v>
      </c>
      <c r="D562" s="9">
        <v>39627</v>
      </c>
      <c r="E562" s="8">
        <v>1</v>
      </c>
      <c r="F562" s="8">
        <v>0.45763888888888887</v>
      </c>
      <c r="G562" s="8">
        <v>0.51458333333333328</v>
      </c>
      <c r="H562" s="8">
        <v>0.30833333333333335</v>
      </c>
      <c r="I562" s="11">
        <v>0</v>
      </c>
      <c r="J562" s="8">
        <v>9.0972222222222218E-2</v>
      </c>
      <c r="K562" s="10">
        <v>-7031</v>
      </c>
      <c r="L562" s="8">
        <v>0.21597222222222223</v>
      </c>
      <c r="M562" s="10">
        <v>119006</v>
      </c>
      <c r="N562" s="8">
        <v>0.35555555555555557</v>
      </c>
      <c r="O562" s="8">
        <v>35</v>
      </c>
      <c r="P562" s="8">
        <v>221028</v>
      </c>
      <c r="Q562" s="8">
        <f>YEAR(Table13[[#This Row],[release_date]])</f>
        <v>2008</v>
      </c>
      <c r="R562" s="8">
        <f>ROUND(Table13[[#This Row],[duration_ms]]/60000,2)</f>
        <v>3.68</v>
      </c>
      <c r="S562" s="8" t="str">
        <f>IF(Table13[[#This Row],[valence]]&gt;=0.6, "Happy", IF(Table13[[#This Row],[valence]]&gt;=0.4, "Neutral", "Sad"))</f>
        <v>Sad</v>
      </c>
      <c r="T562" s="8" t="str">
        <f>IF(Table13[[#This Row],[energy]]&gt;=0.7, "High Energy", IF(Table13[[#This Row],[energy]]&gt;=0.4, "Medium Energy", "Low Energy"))</f>
        <v>Low Energy</v>
      </c>
      <c r="U562" s="17" t="str">
        <f>IF(Table13[[#This Row],[popularity]]&gt;70, "Popular", IF(Table13[[#This Row],[popularity]]&lt;40, "Less Popular", "Mid"))</f>
        <v>Less Popular</v>
      </c>
    </row>
    <row r="563" spans="2:21" x14ac:dyDescent="0.3">
      <c r="B563" s="8" t="s">
        <v>739</v>
      </c>
      <c r="C563" s="8" t="s">
        <v>738</v>
      </c>
      <c r="D563" s="9">
        <v>39627</v>
      </c>
      <c r="E563" s="8">
        <v>2</v>
      </c>
      <c r="F563" s="8">
        <v>0.56527777777777777</v>
      </c>
      <c r="G563" s="8">
        <v>0.43263888888888885</v>
      </c>
      <c r="H563" s="8">
        <v>0.18472222222222223</v>
      </c>
      <c r="I563" s="11">
        <v>0</v>
      </c>
      <c r="J563" s="8">
        <v>0.10069444444444443</v>
      </c>
      <c r="K563" s="10">
        <v>-5894</v>
      </c>
      <c r="L563" s="8" t="s">
        <v>361</v>
      </c>
      <c r="M563" s="10">
        <v>96601</v>
      </c>
      <c r="N563" s="8">
        <v>0.32430555555555557</v>
      </c>
      <c r="O563" s="8">
        <v>35</v>
      </c>
      <c r="P563" s="8">
        <v>198247</v>
      </c>
      <c r="Q563" s="8">
        <f>YEAR(Table13[[#This Row],[release_date]])</f>
        <v>2008</v>
      </c>
      <c r="R563" s="8">
        <f>ROUND(Table13[[#This Row],[duration_ms]]/60000,2)</f>
        <v>3.3</v>
      </c>
      <c r="S563" s="8" t="str">
        <f>IF(Table13[[#This Row],[valence]]&gt;=0.6, "Happy", IF(Table13[[#This Row],[valence]]&gt;=0.4, "Neutral", "Sad"))</f>
        <v>Sad</v>
      </c>
      <c r="T563" s="8" t="str">
        <f>IF(Table13[[#This Row],[energy]]&gt;=0.7, "High Energy", IF(Table13[[#This Row],[energy]]&gt;=0.4, "Medium Energy", "Low Energy"))</f>
        <v>Low Energy</v>
      </c>
      <c r="U563" s="17" t="str">
        <f>IF(Table13[[#This Row],[popularity]]&gt;70, "Popular", IF(Table13[[#This Row],[popularity]]&lt;40, "Less Popular", "Mid"))</f>
        <v>Less Popular</v>
      </c>
    </row>
    <row r="564" spans="2:21" x14ac:dyDescent="0.3">
      <c r="B564" s="8" t="s">
        <v>740</v>
      </c>
      <c r="C564" s="8" t="s">
        <v>738</v>
      </c>
      <c r="D564" s="9">
        <v>39627</v>
      </c>
      <c r="E564" s="8">
        <v>3</v>
      </c>
      <c r="F564" s="8">
        <v>0.41388888888888892</v>
      </c>
      <c r="G564" s="8">
        <v>0.43541666666666662</v>
      </c>
      <c r="H564" s="8">
        <v>0.48888888888888887</v>
      </c>
      <c r="I564" s="11">
        <v>0</v>
      </c>
      <c r="J564" s="8">
        <v>0.4152777777777778</v>
      </c>
      <c r="K564" s="10">
        <v>-3739</v>
      </c>
      <c r="L564" s="8">
        <v>0.18680555555555556</v>
      </c>
      <c r="M564" s="10">
        <v>98958</v>
      </c>
      <c r="N564" s="8">
        <v>0.31736111111111109</v>
      </c>
      <c r="O564" s="8">
        <v>38</v>
      </c>
      <c r="P564" s="8">
        <v>176316</v>
      </c>
      <c r="Q564" s="8">
        <f>YEAR(Table13[[#This Row],[release_date]])</f>
        <v>2008</v>
      </c>
      <c r="R564" s="8">
        <f>ROUND(Table13[[#This Row],[duration_ms]]/60000,2)</f>
        <v>2.94</v>
      </c>
      <c r="S564" s="8" t="str">
        <f>IF(Table13[[#This Row],[valence]]&gt;=0.6, "Happy", IF(Table13[[#This Row],[valence]]&gt;=0.4, "Neutral", "Sad"))</f>
        <v>Sad</v>
      </c>
      <c r="T564" s="8" t="str">
        <f>IF(Table13[[#This Row],[energy]]&gt;=0.7, "High Energy", IF(Table13[[#This Row],[energy]]&gt;=0.4, "Medium Energy", "Low Energy"))</f>
        <v>Medium Energy</v>
      </c>
      <c r="U564" s="17" t="str">
        <f>IF(Table13[[#This Row],[popularity]]&gt;70, "Popular", IF(Table13[[#This Row],[popularity]]&lt;40, "Less Popular", "Mid"))</f>
        <v>Less Popular</v>
      </c>
    </row>
    <row r="565" spans="2:21" x14ac:dyDescent="0.3">
      <c r="B565" s="8" t="s">
        <v>741</v>
      </c>
      <c r="C565" s="8" t="s">
        <v>738</v>
      </c>
      <c r="D565" s="9">
        <v>39627</v>
      </c>
      <c r="E565" s="8">
        <v>4</v>
      </c>
      <c r="F565" s="8">
        <v>0.59444444444444444</v>
      </c>
      <c r="G565" s="8">
        <v>0.50763888888888886</v>
      </c>
      <c r="H565" s="8">
        <v>0.1277777777777778</v>
      </c>
      <c r="I565" s="11">
        <v>0</v>
      </c>
      <c r="J565" s="8">
        <v>0.64374999999999993</v>
      </c>
      <c r="K565" s="10">
        <v>-9235</v>
      </c>
      <c r="L565" s="8">
        <v>0.2902777777777778</v>
      </c>
      <c r="M565" s="10">
        <v>102404</v>
      </c>
      <c r="N565" s="8">
        <v>0.2298611111111111</v>
      </c>
      <c r="O565" s="8">
        <v>32</v>
      </c>
      <c r="P565" s="8">
        <v>222959</v>
      </c>
      <c r="Q565" s="8">
        <f>YEAR(Table13[[#This Row],[release_date]])</f>
        <v>2008</v>
      </c>
      <c r="R565" s="8">
        <f>ROUND(Table13[[#This Row],[duration_ms]]/60000,2)</f>
        <v>3.72</v>
      </c>
      <c r="S565" s="8" t="str">
        <f>IF(Table13[[#This Row],[valence]]&gt;=0.6, "Happy", IF(Table13[[#This Row],[valence]]&gt;=0.4, "Neutral", "Sad"))</f>
        <v>Sad</v>
      </c>
      <c r="T565" s="8" t="str">
        <f>IF(Table13[[#This Row],[energy]]&gt;=0.7, "High Energy", IF(Table13[[#This Row],[energy]]&gt;=0.4, "Medium Energy", "Low Energy"))</f>
        <v>Low Energy</v>
      </c>
      <c r="U565" s="17" t="str">
        <f>IF(Table13[[#This Row],[popularity]]&gt;70, "Popular", IF(Table13[[#This Row],[popularity]]&lt;40, "Less Popular", "Mid"))</f>
        <v>Less Popular</v>
      </c>
    </row>
    <row r="566" spans="2:21" x14ac:dyDescent="0.3">
      <c r="B566" s="8" t="s">
        <v>742</v>
      </c>
      <c r="C566" s="8" t="s">
        <v>738</v>
      </c>
      <c r="D566" s="9">
        <v>39627</v>
      </c>
      <c r="E566" s="8">
        <v>5</v>
      </c>
      <c r="F566" s="8">
        <v>0.46111111111111108</v>
      </c>
      <c r="G566" s="8">
        <v>0.2388888888888889</v>
      </c>
      <c r="H566" s="8">
        <v>0.55625000000000002</v>
      </c>
      <c r="I566" s="11">
        <v>0</v>
      </c>
      <c r="J566" s="8">
        <v>7.3611111111111113E-2</v>
      </c>
      <c r="K566" s="10">
        <v>-5373</v>
      </c>
      <c r="L566" s="8">
        <v>0.39861111111111108</v>
      </c>
      <c r="M566" s="10">
        <v>204489</v>
      </c>
      <c r="N566" s="8">
        <v>0.42708333333333331</v>
      </c>
      <c r="O566" s="8">
        <v>30</v>
      </c>
      <c r="P566" s="8">
        <v>196346</v>
      </c>
      <c r="Q566" s="8">
        <f>YEAR(Table13[[#This Row],[release_date]])</f>
        <v>2008</v>
      </c>
      <c r="R566" s="8">
        <f>ROUND(Table13[[#This Row],[duration_ms]]/60000,2)</f>
        <v>3.27</v>
      </c>
      <c r="S566" s="8" t="str">
        <f>IF(Table13[[#This Row],[valence]]&gt;=0.6, "Happy", IF(Table13[[#This Row],[valence]]&gt;=0.4, "Neutral", "Sad"))</f>
        <v>Neutral</v>
      </c>
      <c r="T566" s="8" t="str">
        <f>IF(Table13[[#This Row],[energy]]&gt;=0.7, "High Energy", IF(Table13[[#This Row],[energy]]&gt;=0.4, "Medium Energy", "Low Energy"))</f>
        <v>Medium Energy</v>
      </c>
      <c r="U566" s="17" t="str">
        <f>IF(Table13[[#This Row],[popularity]]&gt;70, "Popular", IF(Table13[[#This Row],[popularity]]&lt;40, "Less Popular", "Mid"))</f>
        <v>Less Popular</v>
      </c>
    </row>
    <row r="567" spans="2:21" x14ac:dyDescent="0.3">
      <c r="B567" s="8" t="s">
        <v>743</v>
      </c>
      <c r="C567" s="8" t="s">
        <v>738</v>
      </c>
      <c r="D567" s="9">
        <v>39627</v>
      </c>
      <c r="E567" s="8">
        <v>6</v>
      </c>
      <c r="F567" s="8">
        <v>0.18472222222222223</v>
      </c>
      <c r="G567" s="8">
        <v>0.44930555555555557</v>
      </c>
      <c r="H567" s="8">
        <v>0.60555555555555551</v>
      </c>
      <c r="I567" s="11">
        <v>0</v>
      </c>
      <c r="J567" s="8">
        <v>0.29097222222222224</v>
      </c>
      <c r="K567" s="10">
        <v>-1953</v>
      </c>
      <c r="L567" s="8">
        <v>0.36388888888888887</v>
      </c>
      <c r="M567" s="10">
        <v>105798</v>
      </c>
      <c r="N567" s="8">
        <v>0.47500000000000003</v>
      </c>
      <c r="O567" s="8">
        <v>30</v>
      </c>
      <c r="P567" s="8">
        <v>173899</v>
      </c>
      <c r="Q567" s="8">
        <f>YEAR(Table13[[#This Row],[release_date]])</f>
        <v>2008</v>
      </c>
      <c r="R567" s="8">
        <f>ROUND(Table13[[#This Row],[duration_ms]]/60000,2)</f>
        <v>2.9</v>
      </c>
      <c r="S567" s="8" t="str">
        <f>IF(Table13[[#This Row],[valence]]&gt;=0.6, "Happy", IF(Table13[[#This Row],[valence]]&gt;=0.4, "Neutral", "Sad"))</f>
        <v>Neutral</v>
      </c>
      <c r="T567" s="8" t="str">
        <f>IF(Table13[[#This Row],[energy]]&gt;=0.7, "High Energy", IF(Table13[[#This Row],[energy]]&gt;=0.4, "Medium Energy", "Low Energy"))</f>
        <v>Medium Energy</v>
      </c>
      <c r="U567" s="17" t="str">
        <f>IF(Table13[[#This Row],[popularity]]&gt;70, "Popular", IF(Table13[[#This Row],[popularity]]&lt;40, "Less Popular", "Mid"))</f>
        <v>Less Popular</v>
      </c>
    </row>
    <row r="568" spans="2:21" x14ac:dyDescent="0.3">
      <c r="B568" s="8" t="s">
        <v>744</v>
      </c>
      <c r="C568" s="8" t="s">
        <v>738</v>
      </c>
      <c r="D568" s="9">
        <v>39627</v>
      </c>
      <c r="E568" s="8">
        <v>7</v>
      </c>
      <c r="F568" s="8">
        <v>0.27708333333333335</v>
      </c>
      <c r="G568" s="8">
        <v>0.29791666666666666</v>
      </c>
      <c r="H568" s="8">
        <v>0.56111111111111112</v>
      </c>
      <c r="I568" s="11">
        <v>0</v>
      </c>
      <c r="J568" s="8">
        <v>0.61388888888888882</v>
      </c>
      <c r="K568" s="10">
        <v>-3004</v>
      </c>
      <c r="L568" s="8">
        <v>0.47013888888888888</v>
      </c>
      <c r="M568" s="10">
        <v>171537</v>
      </c>
      <c r="N568" s="8">
        <v>0.30416666666666664</v>
      </c>
      <c r="O568" s="8">
        <v>30</v>
      </c>
      <c r="P568" s="8">
        <v>228473</v>
      </c>
      <c r="Q568" s="8">
        <f>YEAR(Table13[[#This Row],[release_date]])</f>
        <v>2008</v>
      </c>
      <c r="R568" s="8">
        <f>ROUND(Table13[[#This Row],[duration_ms]]/60000,2)</f>
        <v>3.81</v>
      </c>
      <c r="S568" s="8" t="str">
        <f>IF(Table13[[#This Row],[valence]]&gt;=0.6, "Happy", IF(Table13[[#This Row],[valence]]&gt;=0.4, "Neutral", "Sad"))</f>
        <v>Sad</v>
      </c>
      <c r="T568" s="8" t="str">
        <f>IF(Table13[[#This Row],[energy]]&gt;=0.7, "High Energy", IF(Table13[[#This Row],[energy]]&gt;=0.4, "Medium Energy", "Low Energy"))</f>
        <v>Medium Energy</v>
      </c>
      <c r="U568" s="17" t="str">
        <f>IF(Table13[[#This Row],[popularity]]&gt;70, "Popular", IF(Table13[[#This Row],[popularity]]&lt;40, "Less Popular", "Mid"))</f>
        <v>Less Popular</v>
      </c>
    </row>
    <row r="569" spans="2:21" x14ac:dyDescent="0.3">
      <c r="B569" s="8" t="s">
        <v>745</v>
      </c>
      <c r="C569" s="8" t="s">
        <v>738</v>
      </c>
      <c r="D569" s="9">
        <v>39627</v>
      </c>
      <c r="E569" s="8">
        <v>8</v>
      </c>
      <c r="F569" s="8">
        <v>0.10833333333333334</v>
      </c>
      <c r="G569" s="8">
        <v>0.16874999999999998</v>
      </c>
      <c r="H569" s="8">
        <v>0.49444444444444446</v>
      </c>
      <c r="I569" s="11">
        <v>0</v>
      </c>
      <c r="J569" s="8">
        <v>7.7083333333333337E-2</v>
      </c>
      <c r="K569" s="10">
        <v>-4307</v>
      </c>
      <c r="L569" s="8">
        <v>0.40069444444444446</v>
      </c>
      <c r="M569" s="10">
        <v>202319</v>
      </c>
      <c r="N569" s="8">
        <v>0.18958333333333333</v>
      </c>
      <c r="O569" s="8">
        <v>28</v>
      </c>
      <c r="P569" s="8">
        <v>258487</v>
      </c>
      <c r="Q569" s="8">
        <f>YEAR(Table13[[#This Row],[release_date]])</f>
        <v>2008</v>
      </c>
      <c r="R569" s="8">
        <f>ROUND(Table13[[#This Row],[duration_ms]]/60000,2)</f>
        <v>4.3099999999999996</v>
      </c>
      <c r="S569" s="8" t="str">
        <f>IF(Table13[[#This Row],[valence]]&gt;=0.6, "Happy", IF(Table13[[#This Row],[valence]]&gt;=0.4, "Neutral", "Sad"))</f>
        <v>Sad</v>
      </c>
      <c r="T569" s="8" t="str">
        <f>IF(Table13[[#This Row],[energy]]&gt;=0.7, "High Energy", IF(Table13[[#This Row],[energy]]&gt;=0.4, "Medium Energy", "Low Energy"))</f>
        <v>Medium Energy</v>
      </c>
      <c r="U569" s="17" t="str">
        <f>IF(Table13[[#This Row],[popularity]]&gt;70, "Popular", IF(Table13[[#This Row],[popularity]]&lt;40, "Less Popular", "Mid"))</f>
        <v>Less Popular</v>
      </c>
    </row>
    <row r="570" spans="2:21" x14ac:dyDescent="0.3">
      <c r="B570" s="8" t="s">
        <v>746</v>
      </c>
      <c r="C570" s="8" t="s">
        <v>747</v>
      </c>
      <c r="D570" s="9">
        <v>39014</v>
      </c>
      <c r="E570" s="8">
        <v>1</v>
      </c>
      <c r="F570" s="8">
        <v>0.39930555555555558</v>
      </c>
      <c r="G570" s="11">
        <v>4.027777777777778E-2</v>
      </c>
      <c r="H570" s="8">
        <v>0.34097222222222223</v>
      </c>
      <c r="I570" s="11">
        <v>0</v>
      </c>
      <c r="J570" s="8">
        <v>8.4027777777777771E-2</v>
      </c>
      <c r="K570" s="10">
        <v>-6462</v>
      </c>
      <c r="L570" s="8">
        <v>0.17430555555555557</v>
      </c>
      <c r="M570" s="10">
        <v>76009</v>
      </c>
      <c r="N570" s="8">
        <v>0.2951388888888889</v>
      </c>
      <c r="O570" s="8">
        <v>56</v>
      </c>
      <c r="P570" s="8">
        <v>232106</v>
      </c>
      <c r="Q570" s="8">
        <f>YEAR(Table13[[#This Row],[release_date]])</f>
        <v>2006</v>
      </c>
      <c r="R570" s="8">
        <f>ROUND(Table13[[#This Row],[duration_ms]]/60000,2)</f>
        <v>3.87</v>
      </c>
      <c r="S570" s="8" t="str">
        <f>IF(Table13[[#This Row],[valence]]&gt;=0.6, "Happy", IF(Table13[[#This Row],[valence]]&gt;=0.4, "Neutral", "Sad"))</f>
        <v>Sad</v>
      </c>
      <c r="T570" s="8" t="str">
        <f>IF(Table13[[#This Row],[energy]]&gt;=0.7, "High Energy", IF(Table13[[#This Row],[energy]]&gt;=0.4, "Medium Energy", "Low Energy"))</f>
        <v>Low Energy</v>
      </c>
      <c r="U570" s="17" t="str">
        <f>IF(Table13[[#This Row],[popularity]]&gt;70, "Popular", IF(Table13[[#This Row],[popularity]]&lt;40, "Less Popular", "Mid"))</f>
        <v>Mid</v>
      </c>
    </row>
    <row r="571" spans="2:21" x14ac:dyDescent="0.3">
      <c r="B571" s="8" t="s">
        <v>748</v>
      </c>
      <c r="C571" s="8" t="s">
        <v>747</v>
      </c>
      <c r="D571" s="9">
        <v>39014</v>
      </c>
      <c r="E571" s="8">
        <v>2</v>
      </c>
      <c r="F571" s="8">
        <v>0.12013888888888889</v>
      </c>
      <c r="G571" s="8">
        <v>0.45694444444444443</v>
      </c>
      <c r="H571" s="8">
        <v>0.60902777777777783</v>
      </c>
      <c r="I571" s="11">
        <v>0</v>
      </c>
      <c r="J571" s="8">
        <v>0.66805555555555562</v>
      </c>
      <c r="K571" s="10">
        <v>-2098</v>
      </c>
      <c r="L571" s="8">
        <v>0.22430555555555556</v>
      </c>
      <c r="M571" s="10">
        <v>105586</v>
      </c>
      <c r="N571" s="8">
        <v>0.57013888888888886</v>
      </c>
      <c r="O571" s="8">
        <v>61</v>
      </c>
      <c r="P571" s="8">
        <v>173066</v>
      </c>
      <c r="Q571" s="8">
        <f>YEAR(Table13[[#This Row],[release_date]])</f>
        <v>2006</v>
      </c>
      <c r="R571" s="8">
        <f>ROUND(Table13[[#This Row],[duration_ms]]/60000,2)</f>
        <v>2.88</v>
      </c>
      <c r="S571" s="8" t="str">
        <f>IF(Table13[[#This Row],[valence]]&gt;=0.6, "Happy", IF(Table13[[#This Row],[valence]]&gt;=0.4, "Neutral", "Sad"))</f>
        <v>Neutral</v>
      </c>
      <c r="T571" s="8" t="str">
        <f>IF(Table13[[#This Row],[energy]]&gt;=0.7, "High Energy", IF(Table13[[#This Row],[energy]]&gt;=0.4, "Medium Energy", "Low Energy"))</f>
        <v>Medium Energy</v>
      </c>
      <c r="U571" s="17" t="str">
        <f>IF(Table13[[#This Row],[popularity]]&gt;70, "Popular", IF(Table13[[#This Row],[popularity]]&lt;40, "Less Popular", "Mid"))</f>
        <v>Mid</v>
      </c>
    </row>
    <row r="572" spans="2:21" x14ac:dyDescent="0.3">
      <c r="B572" s="8" t="s">
        <v>490</v>
      </c>
      <c r="C572" s="8" t="s">
        <v>747</v>
      </c>
      <c r="D572" s="9">
        <v>39014</v>
      </c>
      <c r="E572" s="8">
        <v>3</v>
      </c>
      <c r="F572" s="8">
        <v>0.19999999999999998</v>
      </c>
      <c r="G572" s="8">
        <v>0.43124999999999997</v>
      </c>
      <c r="H572" s="8">
        <v>0.28958333333333336</v>
      </c>
      <c r="I572" s="11">
        <v>0</v>
      </c>
      <c r="J572" s="8">
        <v>8.2638888888888887E-2</v>
      </c>
      <c r="K572" s="10">
        <v>-6941</v>
      </c>
      <c r="L572" s="8">
        <v>0.16041666666666668</v>
      </c>
      <c r="M572" s="10">
        <v>99953</v>
      </c>
      <c r="N572" s="8">
        <v>0.20069444444444443</v>
      </c>
      <c r="O572" s="8">
        <v>63</v>
      </c>
      <c r="P572" s="8">
        <v>203040</v>
      </c>
      <c r="Q572" s="8">
        <f>YEAR(Table13[[#This Row],[release_date]])</f>
        <v>2006</v>
      </c>
      <c r="R572" s="8">
        <f>ROUND(Table13[[#This Row],[duration_ms]]/60000,2)</f>
        <v>3.38</v>
      </c>
      <c r="S572" s="8" t="str">
        <f>IF(Table13[[#This Row],[valence]]&gt;=0.6, "Happy", IF(Table13[[#This Row],[valence]]&gt;=0.4, "Neutral", "Sad"))</f>
        <v>Sad</v>
      </c>
      <c r="T572" s="8" t="str">
        <f>IF(Table13[[#This Row],[energy]]&gt;=0.7, "High Energy", IF(Table13[[#This Row],[energy]]&gt;=0.4, "Medium Energy", "Low Energy"))</f>
        <v>Low Energy</v>
      </c>
      <c r="U572" s="17" t="str">
        <f>IF(Table13[[#This Row],[popularity]]&gt;70, "Popular", IF(Table13[[#This Row],[popularity]]&lt;40, "Less Popular", "Mid"))</f>
        <v>Mid</v>
      </c>
    </row>
    <row r="573" spans="2:21" x14ac:dyDescent="0.3">
      <c r="B573" s="8" t="s">
        <v>536</v>
      </c>
      <c r="C573" s="8" t="s">
        <v>747</v>
      </c>
      <c r="D573" s="9">
        <v>39014</v>
      </c>
      <c r="E573" s="8">
        <v>4</v>
      </c>
      <c r="F573" s="8" t="s">
        <v>749</v>
      </c>
      <c r="G573" s="8">
        <v>0.39999999999999997</v>
      </c>
      <c r="H573" s="8">
        <v>0.5395833333333333</v>
      </c>
      <c r="I573" s="11">
        <v>0</v>
      </c>
      <c r="J573" s="11">
        <v>2.2222222222222223E-2</v>
      </c>
      <c r="K573" s="10">
        <v>-2881</v>
      </c>
      <c r="L573" s="8">
        <v>0.22500000000000001</v>
      </c>
      <c r="M573" s="10">
        <v>115028</v>
      </c>
      <c r="N573" s="8">
        <v>0.29722222222222222</v>
      </c>
      <c r="O573" s="8">
        <v>55</v>
      </c>
      <c r="P573" s="8">
        <v>199200</v>
      </c>
      <c r="Q573" s="8">
        <f>YEAR(Table13[[#This Row],[release_date]])</f>
        <v>2006</v>
      </c>
      <c r="R573" s="8">
        <f>ROUND(Table13[[#This Row],[duration_ms]]/60000,2)</f>
        <v>3.32</v>
      </c>
      <c r="S573" s="8" t="str">
        <f>IF(Table13[[#This Row],[valence]]&gt;=0.6, "Happy", IF(Table13[[#This Row],[valence]]&gt;=0.4, "Neutral", "Sad"))</f>
        <v>Sad</v>
      </c>
      <c r="T573" s="8" t="str">
        <f>IF(Table13[[#This Row],[energy]]&gt;=0.7, "High Energy", IF(Table13[[#This Row],[energy]]&gt;=0.4, "Medium Energy", "Low Energy"))</f>
        <v>Medium Energy</v>
      </c>
      <c r="U573" s="17" t="str">
        <f>IF(Table13[[#This Row],[popularity]]&gt;70, "Popular", IF(Table13[[#This Row],[popularity]]&lt;40, "Less Popular", "Mid"))</f>
        <v>Mid</v>
      </c>
    </row>
    <row r="574" spans="2:21" x14ac:dyDescent="0.3">
      <c r="B574" s="8" t="s">
        <v>750</v>
      </c>
      <c r="C574" s="8" t="s">
        <v>747</v>
      </c>
      <c r="D574" s="9">
        <v>39014</v>
      </c>
      <c r="E574" s="8">
        <v>5</v>
      </c>
      <c r="F574" s="8">
        <v>0.15069444444444444</v>
      </c>
      <c r="G574" s="8">
        <v>0.2902777777777778</v>
      </c>
      <c r="H574" s="8">
        <v>0.3347222222222222</v>
      </c>
      <c r="I574" s="11">
        <v>0</v>
      </c>
      <c r="J574" s="8">
        <v>8.5416666666666655E-2</v>
      </c>
      <c r="K574" s="10">
        <v>-5769</v>
      </c>
      <c r="L574" s="8">
        <v>0.18472222222222223</v>
      </c>
      <c r="M574" s="10">
        <v>175558</v>
      </c>
      <c r="N574" s="8">
        <v>0.18124999999999999</v>
      </c>
      <c r="O574" s="8">
        <v>55</v>
      </c>
      <c r="P574" s="8">
        <v>239013</v>
      </c>
      <c r="Q574" s="8">
        <f>YEAR(Table13[[#This Row],[release_date]])</f>
        <v>2006</v>
      </c>
      <c r="R574" s="8">
        <f>ROUND(Table13[[#This Row],[duration_ms]]/60000,2)</f>
        <v>3.98</v>
      </c>
      <c r="S574" s="8" t="str">
        <f>IF(Table13[[#This Row],[valence]]&gt;=0.6, "Happy", IF(Table13[[#This Row],[valence]]&gt;=0.4, "Neutral", "Sad"))</f>
        <v>Sad</v>
      </c>
      <c r="T574" s="8" t="str">
        <f>IF(Table13[[#This Row],[energy]]&gt;=0.7, "High Energy", IF(Table13[[#This Row],[energy]]&gt;=0.4, "Medium Energy", "Low Energy"))</f>
        <v>Low Energy</v>
      </c>
      <c r="U574" s="17" t="str">
        <f>IF(Table13[[#This Row],[popularity]]&gt;70, "Popular", IF(Table13[[#This Row],[popularity]]&lt;40, "Less Popular", "Mid"))</f>
        <v>Mid</v>
      </c>
    </row>
    <row r="575" spans="2:21" x14ac:dyDescent="0.3">
      <c r="B575" s="8" t="s">
        <v>751</v>
      </c>
      <c r="C575" s="8" t="s">
        <v>747</v>
      </c>
      <c r="D575" s="9">
        <v>39014</v>
      </c>
      <c r="E575" s="8">
        <v>6</v>
      </c>
      <c r="F575" s="8" t="s">
        <v>752</v>
      </c>
      <c r="G575" s="8">
        <v>0.40902777777777777</v>
      </c>
      <c r="H575" s="8">
        <v>0.55902777777777779</v>
      </c>
      <c r="I575" s="11">
        <v>0</v>
      </c>
      <c r="J575" s="11">
        <v>1.6666666666666666E-2</v>
      </c>
      <c r="K575" s="10">
        <v>-4055</v>
      </c>
      <c r="L575" s="8">
        <v>0.20347222222222225</v>
      </c>
      <c r="M575" s="10">
        <v>112982</v>
      </c>
      <c r="N575" s="8">
        <v>0.41041666666666665</v>
      </c>
      <c r="O575" s="8">
        <v>54</v>
      </c>
      <c r="P575" s="8">
        <v>207106</v>
      </c>
      <c r="Q575" s="8">
        <f>YEAR(Table13[[#This Row],[release_date]])</f>
        <v>2006</v>
      </c>
      <c r="R575" s="8">
        <f>ROUND(Table13[[#This Row],[duration_ms]]/60000,2)</f>
        <v>3.45</v>
      </c>
      <c r="S575" s="8" t="str">
        <f>IF(Table13[[#This Row],[valence]]&gt;=0.6, "Happy", IF(Table13[[#This Row],[valence]]&gt;=0.4, "Neutral", "Sad"))</f>
        <v>Neutral</v>
      </c>
      <c r="T575" s="8" t="str">
        <f>IF(Table13[[#This Row],[energy]]&gt;=0.7, "High Energy", IF(Table13[[#This Row],[energy]]&gt;=0.4, "Medium Energy", "Low Energy"))</f>
        <v>Medium Energy</v>
      </c>
      <c r="U575" s="17" t="str">
        <f>IF(Table13[[#This Row],[popularity]]&gt;70, "Popular", IF(Table13[[#This Row],[popularity]]&lt;40, "Less Popular", "Mid"))</f>
        <v>Mid</v>
      </c>
    </row>
    <row r="576" spans="2:21" x14ac:dyDescent="0.3">
      <c r="B576" s="8" t="s">
        <v>546</v>
      </c>
      <c r="C576" s="8" t="s">
        <v>747</v>
      </c>
      <c r="D576" s="9">
        <v>39014</v>
      </c>
      <c r="E576" s="8">
        <v>7</v>
      </c>
      <c r="F576" s="8">
        <v>0.36458333333333331</v>
      </c>
      <c r="G576" s="8">
        <v>0.33263888888888887</v>
      </c>
      <c r="H576" s="8">
        <v>0.40138888888888885</v>
      </c>
      <c r="I576" s="11">
        <v>0</v>
      </c>
      <c r="J576" s="8">
        <v>0.58402777777777781</v>
      </c>
      <c r="K576" s="10">
        <v>-4963</v>
      </c>
      <c r="L576" s="8">
        <v>0.20416666666666669</v>
      </c>
      <c r="M576" s="10">
        <v>146165</v>
      </c>
      <c r="N576" s="8">
        <v>0.13333333333333333</v>
      </c>
      <c r="O576" s="8">
        <v>54</v>
      </c>
      <c r="P576" s="8">
        <v>248106</v>
      </c>
      <c r="Q576" s="8">
        <f>YEAR(Table13[[#This Row],[release_date]])</f>
        <v>2006</v>
      </c>
      <c r="R576" s="8">
        <f>ROUND(Table13[[#This Row],[duration_ms]]/60000,2)</f>
        <v>4.1399999999999997</v>
      </c>
      <c r="S576" s="8" t="str">
        <f>IF(Table13[[#This Row],[valence]]&gt;=0.6, "Happy", IF(Table13[[#This Row],[valence]]&gt;=0.4, "Neutral", "Sad"))</f>
        <v>Sad</v>
      </c>
      <c r="T576" s="8" t="str">
        <f>IF(Table13[[#This Row],[energy]]&gt;=0.7, "High Energy", IF(Table13[[#This Row],[energy]]&gt;=0.4, "Medium Energy", "Low Energy"))</f>
        <v>Medium Energy</v>
      </c>
      <c r="U576" s="17" t="str">
        <f>IF(Table13[[#This Row],[popularity]]&gt;70, "Popular", IF(Table13[[#This Row],[popularity]]&lt;40, "Less Popular", "Mid"))</f>
        <v>Mid</v>
      </c>
    </row>
    <row r="577" spans="2:21" x14ac:dyDescent="0.3">
      <c r="B577" s="8" t="s">
        <v>753</v>
      </c>
      <c r="C577" s="8" t="s">
        <v>747</v>
      </c>
      <c r="D577" s="9">
        <v>39014</v>
      </c>
      <c r="E577" s="8">
        <v>8</v>
      </c>
      <c r="F577" s="8">
        <v>0.60277777777777775</v>
      </c>
      <c r="G577" s="8">
        <v>0.41250000000000003</v>
      </c>
      <c r="H577" s="8">
        <v>0.4368055555555555</v>
      </c>
      <c r="I577" s="11">
        <v>0</v>
      </c>
      <c r="J577" s="8">
        <v>9.5138888888888884E-2</v>
      </c>
      <c r="K577" s="10">
        <v>-4919</v>
      </c>
      <c r="L577" s="8">
        <v>0.17083333333333331</v>
      </c>
      <c r="M577" s="10">
        <v>131597</v>
      </c>
      <c r="N577" s="8">
        <v>0.35000000000000003</v>
      </c>
      <c r="O577" s="8">
        <v>53</v>
      </c>
      <c r="P577" s="8">
        <v>236053</v>
      </c>
      <c r="Q577" s="8">
        <f>YEAR(Table13[[#This Row],[release_date]])</f>
        <v>2006</v>
      </c>
      <c r="R577" s="8">
        <f>ROUND(Table13[[#This Row],[duration_ms]]/60000,2)</f>
        <v>3.93</v>
      </c>
      <c r="S577" s="8" t="str">
        <f>IF(Table13[[#This Row],[valence]]&gt;=0.6, "Happy", IF(Table13[[#This Row],[valence]]&gt;=0.4, "Neutral", "Sad"))</f>
        <v>Sad</v>
      </c>
      <c r="T577" s="8" t="str">
        <f>IF(Table13[[#This Row],[energy]]&gt;=0.7, "High Energy", IF(Table13[[#This Row],[energy]]&gt;=0.4, "Medium Energy", "Low Energy"))</f>
        <v>Medium Energy</v>
      </c>
      <c r="U577" s="17" t="str">
        <f>IF(Table13[[#This Row],[popularity]]&gt;70, "Popular", IF(Table13[[#This Row],[popularity]]&lt;40, "Less Popular", "Mid"))</f>
        <v>Mid</v>
      </c>
    </row>
    <row r="578" spans="2:21" x14ac:dyDescent="0.3">
      <c r="B578" s="8" t="s">
        <v>754</v>
      </c>
      <c r="C578" s="8" t="s">
        <v>747</v>
      </c>
      <c r="D578" s="9">
        <v>39014</v>
      </c>
      <c r="E578" s="8">
        <v>9</v>
      </c>
      <c r="F578" s="8">
        <v>7.1527777777777773E-2</v>
      </c>
      <c r="G578" s="8">
        <v>0.33055555555555555</v>
      </c>
      <c r="H578" s="8">
        <v>0.5395833333333333</v>
      </c>
      <c r="I578" s="11">
        <v>0</v>
      </c>
      <c r="J578" s="8">
        <v>0.1361111111111111</v>
      </c>
      <c r="K578" s="10">
        <v>-3771</v>
      </c>
      <c r="L578" s="8">
        <v>0.20069444444444443</v>
      </c>
      <c r="M578" s="10">
        <v>167964</v>
      </c>
      <c r="N578" s="8">
        <v>0.32777777777777778</v>
      </c>
      <c r="O578" s="8">
        <v>60</v>
      </c>
      <c r="P578" s="8">
        <v>242200</v>
      </c>
      <c r="Q578" s="8">
        <f>YEAR(Table13[[#This Row],[release_date]])</f>
        <v>2006</v>
      </c>
      <c r="R578" s="8">
        <f>ROUND(Table13[[#This Row],[duration_ms]]/60000,2)</f>
        <v>4.04</v>
      </c>
      <c r="S578" s="8" t="str">
        <f>IF(Table13[[#This Row],[valence]]&gt;=0.6, "Happy", IF(Table13[[#This Row],[valence]]&gt;=0.4, "Neutral", "Sad"))</f>
        <v>Sad</v>
      </c>
      <c r="T578" s="8" t="str">
        <f>IF(Table13[[#This Row],[energy]]&gt;=0.7, "High Energy", IF(Table13[[#This Row],[energy]]&gt;=0.4, "Medium Energy", "Low Energy"))</f>
        <v>Medium Energy</v>
      </c>
      <c r="U578" s="17" t="str">
        <f>IF(Table13[[#This Row],[popularity]]&gt;70, "Popular", IF(Table13[[#This Row],[popularity]]&lt;40, "Less Popular", "Mid"))</f>
        <v>Mid</v>
      </c>
    </row>
    <row r="579" spans="2:21" x14ac:dyDescent="0.3">
      <c r="B579" s="8" t="s">
        <v>755</v>
      </c>
      <c r="C579" s="8" t="s">
        <v>747</v>
      </c>
      <c r="D579" s="9">
        <v>39014</v>
      </c>
      <c r="E579" s="8">
        <v>10</v>
      </c>
      <c r="F579" s="8">
        <v>0.12291666666666667</v>
      </c>
      <c r="G579" s="8">
        <v>0.27986111111111112</v>
      </c>
      <c r="H579" s="8">
        <v>0.43541666666666662</v>
      </c>
      <c r="I579" s="11">
        <v>0</v>
      </c>
      <c r="J579" s="8">
        <v>0.12638888888888888</v>
      </c>
      <c r="K579" s="8" t="s">
        <v>756</v>
      </c>
      <c r="L579" s="8">
        <v>0.20277777777777775</v>
      </c>
      <c r="M579" s="14">
        <v>3.0895833333333336</v>
      </c>
      <c r="N579" s="8">
        <v>0.25972222222222224</v>
      </c>
      <c r="O579" s="8">
        <v>57</v>
      </c>
      <c r="P579" s="8">
        <v>213080</v>
      </c>
      <c r="Q579" s="8">
        <f>YEAR(Table13[[#This Row],[release_date]])</f>
        <v>2006</v>
      </c>
      <c r="R579" s="8">
        <f>ROUND(Table13[[#This Row],[duration_ms]]/60000,2)</f>
        <v>3.55</v>
      </c>
      <c r="S579" s="8" t="str">
        <f>IF(Table13[[#This Row],[valence]]&gt;=0.6, "Happy", IF(Table13[[#This Row],[valence]]&gt;=0.4, "Neutral", "Sad"))</f>
        <v>Sad</v>
      </c>
      <c r="T579" s="8" t="str">
        <f>IF(Table13[[#This Row],[energy]]&gt;=0.7, "High Energy", IF(Table13[[#This Row],[energy]]&gt;=0.4, "Medium Energy", "Low Energy"))</f>
        <v>Medium Energy</v>
      </c>
      <c r="U579" s="17" t="str">
        <f>IF(Table13[[#This Row],[popularity]]&gt;70, "Popular", IF(Table13[[#This Row],[popularity]]&lt;40, "Less Popular", "Mid"))</f>
        <v>Mid</v>
      </c>
    </row>
    <row r="580" spans="2:21" x14ac:dyDescent="0.3">
      <c r="B580" s="8" t="s">
        <v>491</v>
      </c>
      <c r="C580" s="8" t="s">
        <v>747</v>
      </c>
      <c r="D580" s="9">
        <v>39014</v>
      </c>
      <c r="E580" s="8">
        <v>11</v>
      </c>
      <c r="F580" s="8">
        <v>7.7083333333333337E-2</v>
      </c>
      <c r="G580" s="8">
        <v>0.46388888888888885</v>
      </c>
      <c r="H580" s="8">
        <v>0.46666666666666662</v>
      </c>
      <c r="I580" s="11">
        <v>0</v>
      </c>
      <c r="J580" s="8">
        <v>0.22847222222222222</v>
      </c>
      <c r="K580" s="10">
        <v>-4931</v>
      </c>
      <c r="L580" s="8">
        <v>0.21041666666666667</v>
      </c>
      <c r="M580" s="10">
        <v>89011</v>
      </c>
      <c r="N580" s="8">
        <v>0.3743055555555555</v>
      </c>
      <c r="O580" s="8">
        <v>64</v>
      </c>
      <c r="P580" s="8">
        <v>201106</v>
      </c>
      <c r="Q580" s="8">
        <f>YEAR(Table13[[#This Row],[release_date]])</f>
        <v>2006</v>
      </c>
      <c r="R580" s="8">
        <f>ROUND(Table13[[#This Row],[duration_ms]]/60000,2)</f>
        <v>3.35</v>
      </c>
      <c r="S580" s="8" t="str">
        <f>IF(Table13[[#This Row],[valence]]&gt;=0.6, "Happy", IF(Table13[[#This Row],[valence]]&gt;=0.4, "Neutral", "Sad"))</f>
        <v>Sad</v>
      </c>
      <c r="T580" s="8" t="str">
        <f>IF(Table13[[#This Row],[energy]]&gt;=0.7, "High Energy", IF(Table13[[#This Row],[energy]]&gt;=0.4, "Medium Energy", "Low Energy"))</f>
        <v>Medium Energy</v>
      </c>
      <c r="U580" s="17" t="str">
        <f>IF(Table13[[#This Row],[popularity]]&gt;70, "Popular", IF(Table13[[#This Row],[popularity]]&lt;40, "Less Popular", "Mid"))</f>
        <v>Mid</v>
      </c>
    </row>
    <row r="581" spans="2:21" x14ac:dyDescent="0.3">
      <c r="B581" s="8" t="s">
        <v>558</v>
      </c>
      <c r="C581" s="8" t="s">
        <v>747</v>
      </c>
      <c r="D581" s="9">
        <v>39014</v>
      </c>
      <c r="E581" s="8">
        <v>12</v>
      </c>
      <c r="F581" s="8" t="s">
        <v>757</v>
      </c>
      <c r="G581" s="8">
        <v>0.39097222222222222</v>
      </c>
      <c r="H581" s="8">
        <v>0.64861111111111114</v>
      </c>
      <c r="I581" s="8" t="s">
        <v>758</v>
      </c>
      <c r="J581" s="8">
        <v>7.1527777777777773E-2</v>
      </c>
      <c r="K581" s="10">
        <v>-3629</v>
      </c>
      <c r="L581" s="8">
        <v>0.44861111111111113</v>
      </c>
      <c r="M581" s="10">
        <v>143964</v>
      </c>
      <c r="N581" s="8">
        <v>0.35972222222222222</v>
      </c>
      <c r="O581" s="8">
        <v>56</v>
      </c>
      <c r="P581" s="8">
        <v>213053</v>
      </c>
      <c r="Q581" s="8">
        <f>YEAR(Table13[[#This Row],[release_date]])</f>
        <v>2006</v>
      </c>
      <c r="R581" s="8">
        <f>ROUND(Table13[[#This Row],[duration_ms]]/60000,2)</f>
        <v>3.55</v>
      </c>
      <c r="S581" s="8" t="str">
        <f>IF(Table13[[#This Row],[valence]]&gt;=0.6, "Happy", IF(Table13[[#This Row],[valence]]&gt;=0.4, "Neutral", "Sad"))</f>
        <v>Sad</v>
      </c>
      <c r="T581" s="8" t="str">
        <f>IF(Table13[[#This Row],[energy]]&gt;=0.7, "High Energy", IF(Table13[[#This Row],[energy]]&gt;=0.4, "Medium Energy", "Low Energy"))</f>
        <v>Medium Energy</v>
      </c>
      <c r="U581" s="17" t="str">
        <f>IF(Table13[[#This Row],[popularity]]&gt;70, "Popular", IF(Table13[[#This Row],[popularity]]&lt;40, "Less Popular", "Mid"))</f>
        <v>Mid</v>
      </c>
    </row>
    <row r="582" spans="2:21" x14ac:dyDescent="0.3">
      <c r="B582" s="8" t="s">
        <v>539</v>
      </c>
      <c r="C582" s="8" t="s">
        <v>747</v>
      </c>
      <c r="D582" s="9">
        <v>39014</v>
      </c>
      <c r="E582" s="8">
        <v>13</v>
      </c>
      <c r="F582" s="8">
        <v>0.44236111111111115</v>
      </c>
      <c r="G582" s="8">
        <v>0.42499999999999999</v>
      </c>
      <c r="H582" s="8">
        <v>0.27361111111111108</v>
      </c>
      <c r="I582" s="11">
        <v>0</v>
      </c>
      <c r="J582" s="8">
        <v>0.10208333333333335</v>
      </c>
      <c r="K582" s="10">
        <v>-5723</v>
      </c>
      <c r="L582" s="8">
        <v>0.16874999999999998</v>
      </c>
      <c r="M582" s="10">
        <v>96001</v>
      </c>
      <c r="N582" s="8">
        <v>0.16180555555555556</v>
      </c>
      <c r="O582" s="8">
        <v>54</v>
      </c>
      <c r="P582" s="8">
        <v>203226</v>
      </c>
      <c r="Q582" s="8">
        <f>YEAR(Table13[[#This Row],[release_date]])</f>
        <v>2006</v>
      </c>
      <c r="R582" s="8">
        <f>ROUND(Table13[[#This Row],[duration_ms]]/60000,2)</f>
        <v>3.39</v>
      </c>
      <c r="S582" s="8" t="str">
        <f>IF(Table13[[#This Row],[valence]]&gt;=0.6, "Happy", IF(Table13[[#This Row],[valence]]&gt;=0.4, "Neutral", "Sad"))</f>
        <v>Sad</v>
      </c>
      <c r="T582" s="8" t="str">
        <f>IF(Table13[[#This Row],[energy]]&gt;=0.7, "High Energy", IF(Table13[[#This Row],[energy]]&gt;=0.4, "Medium Energy", "Low Energy"))</f>
        <v>Low Energy</v>
      </c>
      <c r="U582" s="17" t="str">
        <f>IF(Table13[[#This Row],[popularity]]&gt;70, "Popular", IF(Table13[[#This Row],[popularity]]&lt;40, "Less Popular", "Mid"))</f>
        <v>Mid</v>
      </c>
    </row>
    <row r="583" spans="2:21" x14ac:dyDescent="0.3">
      <c r="B583" s="8" t="s">
        <v>759</v>
      </c>
      <c r="C583" s="8" t="s">
        <v>747</v>
      </c>
      <c r="D583" s="9">
        <v>39014</v>
      </c>
      <c r="E583" s="8">
        <v>14</v>
      </c>
      <c r="F583" s="8" t="s">
        <v>760</v>
      </c>
      <c r="G583" s="8">
        <v>0.3354166666666667</v>
      </c>
      <c r="H583" s="8">
        <v>0.52152777777777781</v>
      </c>
      <c r="I583" s="11">
        <v>0</v>
      </c>
      <c r="J583" s="8">
        <v>8.8888888888888892E-2</v>
      </c>
      <c r="K583" s="10">
        <v>-5726</v>
      </c>
      <c r="L583" s="8">
        <v>0.25347222222222221</v>
      </c>
      <c r="M583" s="10">
        <v>156092</v>
      </c>
      <c r="N583" s="8">
        <v>0.18611111111111112</v>
      </c>
      <c r="O583" s="8">
        <v>53</v>
      </c>
      <c r="P583" s="8">
        <v>220146</v>
      </c>
      <c r="Q583" s="8">
        <f>YEAR(Table13[[#This Row],[release_date]])</f>
        <v>2006</v>
      </c>
      <c r="R583" s="8">
        <f>ROUND(Table13[[#This Row],[duration_ms]]/60000,2)</f>
        <v>3.67</v>
      </c>
      <c r="S583" s="8" t="str">
        <f>IF(Table13[[#This Row],[valence]]&gt;=0.6, "Happy", IF(Table13[[#This Row],[valence]]&gt;=0.4, "Neutral", "Sad"))</f>
        <v>Sad</v>
      </c>
      <c r="T583" s="8" t="str">
        <f>IF(Table13[[#This Row],[energy]]&gt;=0.7, "High Energy", IF(Table13[[#This Row],[energy]]&gt;=0.4, "Medium Energy", "Low Energy"))</f>
        <v>Medium Energy</v>
      </c>
      <c r="U583" s="17" t="str">
        <f>IF(Table13[[#This Row],[popularity]]&gt;70, "Popular", IF(Table13[[#This Row],[popularity]]&lt;40, "Less Popular", "Mid"))</f>
        <v>Mid</v>
      </c>
    </row>
    <row r="584" spans="2:21" x14ac:dyDescent="0.3">
      <c r="B584" s="8" t="s">
        <v>761</v>
      </c>
      <c r="C584" s="8" t="s">
        <v>747</v>
      </c>
      <c r="D584" s="9">
        <v>39014</v>
      </c>
      <c r="E584" s="8">
        <v>15</v>
      </c>
      <c r="F584" s="8">
        <v>0.27916666666666667</v>
      </c>
      <c r="G584" s="8">
        <v>0.31875000000000003</v>
      </c>
      <c r="H584" s="8">
        <v>0.5229166666666667</v>
      </c>
      <c r="I584" s="11">
        <v>0</v>
      </c>
      <c r="J584" s="8">
        <v>0.59930555555555554</v>
      </c>
      <c r="K584" s="10">
        <v>-3827</v>
      </c>
      <c r="L584" s="8">
        <v>0.37291666666666662</v>
      </c>
      <c r="M584" s="10">
        <v>199997</v>
      </c>
      <c r="N584" s="8">
        <v>0.3354166666666667</v>
      </c>
      <c r="O584" s="8">
        <v>55</v>
      </c>
      <c r="P584" s="8">
        <v>179066</v>
      </c>
      <c r="Q584" s="8">
        <f>YEAR(Table13[[#This Row],[release_date]])</f>
        <v>2006</v>
      </c>
      <c r="R584" s="8">
        <f>ROUND(Table13[[#This Row],[duration_ms]]/60000,2)</f>
        <v>2.98</v>
      </c>
      <c r="S584" s="8" t="str">
        <f>IF(Table13[[#This Row],[valence]]&gt;=0.6, "Happy", IF(Table13[[#This Row],[valence]]&gt;=0.4, "Neutral", "Sad"))</f>
        <v>Sad</v>
      </c>
      <c r="T584" s="8" t="str">
        <f>IF(Table13[[#This Row],[energy]]&gt;=0.7, "High Energy", IF(Table13[[#This Row],[energy]]&gt;=0.4, "Medium Energy", "Low Energy"))</f>
        <v>Medium Energy</v>
      </c>
      <c r="U584" s="17" t="str">
        <f>IF(Table13[[#This Row],[popularity]]&gt;70, "Popular", IF(Table13[[#This Row],[popularity]]&lt;40, "Less Popular", "Mid"))</f>
        <v>Mid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K69"/>
  <sheetViews>
    <sheetView zoomScale="70" zoomScaleNormal="70" workbookViewId="0">
      <selection activeCell="C67" sqref="C67"/>
    </sheetView>
  </sheetViews>
  <sheetFormatPr defaultRowHeight="14.4" x14ac:dyDescent="0.3"/>
  <cols>
    <col min="2" max="2" width="13" customWidth="1"/>
    <col min="3" max="3" width="17.33203125" customWidth="1"/>
    <col min="4" max="4" width="10.77734375" customWidth="1"/>
    <col min="5" max="5" width="16.5546875" customWidth="1"/>
    <col min="6" max="6" width="17" customWidth="1"/>
    <col min="7" max="7" width="73" bestFit="1" customWidth="1"/>
    <col min="8" max="8" width="23.21875" bestFit="1" customWidth="1"/>
    <col min="10" max="10" width="28.109375" customWidth="1"/>
    <col min="11" max="11" width="16.6640625" bestFit="1" customWidth="1"/>
  </cols>
  <sheetData>
    <row r="3" spans="2:11" x14ac:dyDescent="0.3">
      <c r="B3" s="15" t="s">
        <v>766</v>
      </c>
      <c r="C3" t="s">
        <v>768</v>
      </c>
      <c r="G3" s="15" t="s">
        <v>766</v>
      </c>
      <c r="H3" t="s">
        <v>769</v>
      </c>
      <c r="J3" s="15" t="s">
        <v>766</v>
      </c>
      <c r="K3" t="s">
        <v>770</v>
      </c>
    </row>
    <row r="4" spans="2:11" x14ac:dyDescent="0.3">
      <c r="B4" s="16" t="s">
        <v>16</v>
      </c>
      <c r="C4">
        <v>78.774193548387103</v>
      </c>
      <c r="G4" s="16" t="s">
        <v>640</v>
      </c>
      <c r="H4">
        <v>4.9512499999999999</v>
      </c>
      <c r="J4" s="16" t="s">
        <v>340</v>
      </c>
      <c r="K4">
        <v>84</v>
      </c>
    </row>
    <row r="5" spans="2:11" x14ac:dyDescent="0.3">
      <c r="B5" s="16" t="s">
        <v>63</v>
      </c>
      <c r="C5">
        <v>77</v>
      </c>
      <c r="G5" s="16" t="s">
        <v>554</v>
      </c>
      <c r="H5">
        <v>4.7871428571428565</v>
      </c>
      <c r="J5" s="16" t="s">
        <v>451</v>
      </c>
      <c r="K5">
        <v>82</v>
      </c>
    </row>
    <row r="6" spans="2:11" x14ac:dyDescent="0.3">
      <c r="B6" s="16" t="s">
        <v>416</v>
      </c>
      <c r="C6">
        <v>75.944444444444443</v>
      </c>
      <c r="G6" s="16" t="s">
        <v>116</v>
      </c>
      <c r="H6">
        <v>4.7604545454545457</v>
      </c>
      <c r="J6" s="16" t="s">
        <v>158</v>
      </c>
      <c r="K6">
        <v>85</v>
      </c>
    </row>
    <row r="7" spans="2:11" x14ac:dyDescent="0.3">
      <c r="B7" s="16" t="s">
        <v>452</v>
      </c>
      <c r="C7">
        <v>75.733333333333334</v>
      </c>
      <c r="G7" s="16" t="s">
        <v>683</v>
      </c>
      <c r="H7">
        <v>4.5990909090909078</v>
      </c>
      <c r="J7" s="16" t="s">
        <v>329</v>
      </c>
      <c r="K7">
        <v>84</v>
      </c>
    </row>
    <row r="8" spans="2:11" x14ac:dyDescent="0.3">
      <c r="B8" s="16" t="s">
        <v>201</v>
      </c>
      <c r="C8">
        <v>74.15384615384616</v>
      </c>
      <c r="G8" s="16" t="s">
        <v>203</v>
      </c>
      <c r="H8">
        <v>4.3553333333333342</v>
      </c>
      <c r="J8" s="16" t="s">
        <v>418</v>
      </c>
      <c r="K8">
        <v>93</v>
      </c>
    </row>
    <row r="9" spans="2:11" x14ac:dyDescent="0.3">
      <c r="B9" s="16" t="s">
        <v>396</v>
      </c>
      <c r="C9">
        <v>72.8125</v>
      </c>
      <c r="G9" s="16" t="s">
        <v>696</v>
      </c>
      <c r="H9">
        <v>4.1810526315789476</v>
      </c>
      <c r="J9" s="16" t="s">
        <v>457</v>
      </c>
      <c r="K9">
        <v>85</v>
      </c>
    </row>
    <row r="10" spans="2:11" x14ac:dyDescent="0.3">
      <c r="B10" s="16" t="s">
        <v>114</v>
      </c>
      <c r="C10">
        <v>72.19047619047619</v>
      </c>
      <c r="G10" s="16" t="s">
        <v>604</v>
      </c>
      <c r="H10">
        <v>4.121363636363637</v>
      </c>
      <c r="J10" s="16" t="s">
        <v>20</v>
      </c>
      <c r="K10">
        <v>82</v>
      </c>
    </row>
    <row r="11" spans="2:11" x14ac:dyDescent="0.3">
      <c r="B11" s="16" t="s">
        <v>116</v>
      </c>
      <c r="C11">
        <v>69.454545454545453</v>
      </c>
      <c r="G11" s="16" t="s">
        <v>259</v>
      </c>
      <c r="H11">
        <v>4.0984615384615388</v>
      </c>
      <c r="J11" s="16" t="s">
        <v>15</v>
      </c>
      <c r="K11">
        <v>91</v>
      </c>
    </row>
    <row r="12" spans="2:11" x14ac:dyDescent="0.3">
      <c r="B12" s="16" t="s">
        <v>203</v>
      </c>
      <c r="C12">
        <v>67.233333333333334</v>
      </c>
      <c r="G12" s="16" t="s">
        <v>63</v>
      </c>
      <c r="H12">
        <v>4.0774999999999997</v>
      </c>
      <c r="J12" s="16" t="s">
        <v>26</v>
      </c>
      <c r="K12">
        <v>82</v>
      </c>
    </row>
    <row r="13" spans="2:11" x14ac:dyDescent="0.3">
      <c r="B13" s="16" t="s">
        <v>325</v>
      </c>
      <c r="C13">
        <v>66.400000000000006</v>
      </c>
      <c r="G13" s="16" t="s">
        <v>297</v>
      </c>
      <c r="H13">
        <v>4.0629411764705878</v>
      </c>
      <c r="J13" s="16" t="s">
        <v>36</v>
      </c>
      <c r="K13">
        <v>88</v>
      </c>
    </row>
    <row r="14" spans="2:11" x14ac:dyDescent="0.3">
      <c r="B14" s="16" t="s">
        <v>767</v>
      </c>
      <c r="C14">
        <v>72.90862944162437</v>
      </c>
      <c r="G14" s="16" t="s">
        <v>486</v>
      </c>
      <c r="H14">
        <v>4.0568749999999998</v>
      </c>
      <c r="J14" s="16" t="s">
        <v>416</v>
      </c>
      <c r="K14">
        <v>86</v>
      </c>
    </row>
    <row r="15" spans="2:11" x14ac:dyDescent="0.3">
      <c r="G15" s="16" t="s">
        <v>325</v>
      </c>
      <c r="H15">
        <v>4.05</v>
      </c>
      <c r="J15" s="16" t="s">
        <v>49</v>
      </c>
      <c r="K15">
        <v>82</v>
      </c>
    </row>
    <row r="16" spans="2:11" x14ac:dyDescent="0.3">
      <c r="B16" s="15" t="s">
        <v>766</v>
      </c>
      <c r="C16" t="s">
        <v>771</v>
      </c>
      <c r="G16" s="16" t="s">
        <v>480</v>
      </c>
      <c r="H16">
        <v>4.0493478260869571</v>
      </c>
      <c r="J16" s="16" t="s">
        <v>767</v>
      </c>
      <c r="K16">
        <v>93</v>
      </c>
    </row>
    <row r="17" spans="2:8" x14ac:dyDescent="0.3">
      <c r="B17" s="16">
        <v>2006</v>
      </c>
      <c r="C17">
        <v>0.46129629629629626</v>
      </c>
      <c r="G17" s="16" t="s">
        <v>717</v>
      </c>
      <c r="H17">
        <v>4.00875</v>
      </c>
    </row>
    <row r="18" spans="2:8" x14ac:dyDescent="0.3">
      <c r="B18" s="16">
        <v>2008</v>
      </c>
      <c r="C18">
        <v>0.41710271317829445</v>
      </c>
      <c r="G18" s="16" t="s">
        <v>396</v>
      </c>
      <c r="H18">
        <v>3.9743749999999998</v>
      </c>
    </row>
    <row r="19" spans="2:8" x14ac:dyDescent="0.3">
      <c r="B19" s="16">
        <v>2010</v>
      </c>
      <c r="C19">
        <v>0.44659455128205128</v>
      </c>
      <c r="G19" s="16" t="s">
        <v>327</v>
      </c>
      <c r="H19">
        <v>3.9605882352941175</v>
      </c>
    </row>
    <row r="20" spans="2:8" x14ac:dyDescent="0.3">
      <c r="B20" s="16">
        <v>2012</v>
      </c>
      <c r="C20">
        <v>0.39128289473684202</v>
      </c>
      <c r="G20" s="16" t="s">
        <v>16</v>
      </c>
      <c r="H20">
        <v>3.95483870967742</v>
      </c>
    </row>
    <row r="21" spans="2:8" x14ac:dyDescent="0.3">
      <c r="B21" s="16">
        <v>2014</v>
      </c>
      <c r="C21">
        <v>0.42078993055555547</v>
      </c>
      <c r="G21" s="16" t="s">
        <v>395</v>
      </c>
      <c r="H21">
        <v>3.9482352941176466</v>
      </c>
    </row>
    <row r="22" spans="2:8" x14ac:dyDescent="0.3">
      <c r="B22" s="16">
        <v>2017</v>
      </c>
      <c r="C22">
        <v>0.41212431693989071</v>
      </c>
      <c r="G22" s="16">
        <v>1989</v>
      </c>
      <c r="H22">
        <v>3.7530769230769234</v>
      </c>
    </row>
    <row r="23" spans="2:8" x14ac:dyDescent="0.3">
      <c r="B23" s="16">
        <v>2019</v>
      </c>
      <c r="C23">
        <v>0.31404320987654322</v>
      </c>
      <c r="G23" s="16" t="s">
        <v>452</v>
      </c>
      <c r="H23">
        <v>3.7160000000000006</v>
      </c>
    </row>
    <row r="24" spans="2:8" x14ac:dyDescent="0.3">
      <c r="B24" s="16">
        <v>2020</v>
      </c>
      <c r="C24">
        <v>0.24852642276422765</v>
      </c>
      <c r="G24" s="16" t="s">
        <v>114</v>
      </c>
      <c r="H24">
        <v>3.7123809523809519</v>
      </c>
    </row>
    <row r="25" spans="2:8" x14ac:dyDescent="0.3">
      <c r="B25" s="16">
        <v>2021</v>
      </c>
      <c r="C25">
        <v>0.38021308980213081</v>
      </c>
      <c r="G25" s="16" t="s">
        <v>65</v>
      </c>
      <c r="H25">
        <v>3.6949999999999998</v>
      </c>
    </row>
    <row r="26" spans="2:8" x14ac:dyDescent="0.3">
      <c r="B26" s="16">
        <v>2022</v>
      </c>
      <c r="C26">
        <v>0.2477272727272728</v>
      </c>
      <c r="G26" s="16" t="s">
        <v>564</v>
      </c>
      <c r="H26">
        <v>3.6189473684210536</v>
      </c>
    </row>
    <row r="27" spans="2:8" x14ac:dyDescent="0.3">
      <c r="B27" s="16">
        <v>2023</v>
      </c>
      <c r="C27">
        <v>0.39544665404040397</v>
      </c>
      <c r="G27" s="16" t="s">
        <v>747</v>
      </c>
      <c r="H27">
        <v>3.5653333333333332</v>
      </c>
    </row>
    <row r="28" spans="2:8" x14ac:dyDescent="0.3">
      <c r="B28" s="16">
        <v>2024</v>
      </c>
      <c r="C28">
        <v>0.28289007092198581</v>
      </c>
      <c r="G28" s="16" t="s">
        <v>152</v>
      </c>
      <c r="H28">
        <v>3.5034782608695649</v>
      </c>
    </row>
    <row r="29" spans="2:8" x14ac:dyDescent="0.3">
      <c r="B29" s="16" t="s">
        <v>767</v>
      </c>
      <c r="C29">
        <v>0.36358939480717883</v>
      </c>
      <c r="G29" s="16" t="s">
        <v>738</v>
      </c>
      <c r="H29">
        <v>3.4912499999999995</v>
      </c>
    </row>
    <row r="30" spans="2:8" x14ac:dyDescent="0.3">
      <c r="G30" s="16" t="s">
        <v>200</v>
      </c>
      <c r="H30">
        <v>3.4740000000000002</v>
      </c>
    </row>
    <row r="31" spans="2:8" x14ac:dyDescent="0.3">
      <c r="B31" s="15" t="s">
        <v>766</v>
      </c>
      <c r="C31" t="s">
        <v>771</v>
      </c>
      <c r="D31" t="s">
        <v>772</v>
      </c>
      <c r="E31" t="s">
        <v>773</v>
      </c>
      <c r="G31" s="16" t="s">
        <v>416</v>
      </c>
      <c r="H31">
        <v>3.4366666666666661</v>
      </c>
    </row>
    <row r="32" spans="2:8" x14ac:dyDescent="0.3">
      <c r="B32" s="16">
        <v>2006</v>
      </c>
      <c r="C32">
        <v>0.46129629629629626</v>
      </c>
      <c r="D32">
        <v>0.35449074074074077</v>
      </c>
      <c r="E32">
        <v>0.29620370370370375</v>
      </c>
      <c r="G32" s="16" t="s">
        <v>201</v>
      </c>
      <c r="H32">
        <v>3.3946153846153848</v>
      </c>
    </row>
    <row r="33" spans="2:8" x14ac:dyDescent="0.3">
      <c r="B33" s="16">
        <v>2008</v>
      </c>
      <c r="C33">
        <v>0.41710271317829445</v>
      </c>
      <c r="D33">
        <v>0.37716408268733842</v>
      </c>
      <c r="E33">
        <v>0.24859496124031016</v>
      </c>
      <c r="G33" s="16" t="s">
        <v>767</v>
      </c>
      <c r="H33">
        <v>3.9997079037800733</v>
      </c>
    </row>
    <row r="34" spans="2:8" x14ac:dyDescent="0.3">
      <c r="B34" s="16">
        <v>2010</v>
      </c>
      <c r="C34">
        <v>0.44659455128205128</v>
      </c>
      <c r="D34">
        <v>0.33736645299145301</v>
      </c>
      <c r="E34">
        <v>0.24772970085470086</v>
      </c>
    </row>
    <row r="35" spans="2:8" x14ac:dyDescent="0.3">
      <c r="B35" s="16">
        <v>2012</v>
      </c>
      <c r="C35">
        <v>0.39128289473684202</v>
      </c>
      <c r="D35">
        <v>0.41935307017543866</v>
      </c>
      <c r="E35">
        <v>0.32006578947368419</v>
      </c>
    </row>
    <row r="36" spans="2:8" x14ac:dyDescent="0.3">
      <c r="B36" s="16">
        <v>2014</v>
      </c>
      <c r="C36">
        <v>0.42078993055555547</v>
      </c>
      <c r="D36">
        <v>0.40312499999999996</v>
      </c>
      <c r="E36">
        <v>0.32029079861111104</v>
      </c>
    </row>
    <row r="37" spans="2:8" x14ac:dyDescent="0.3">
      <c r="B37" s="16">
        <v>2017</v>
      </c>
      <c r="C37">
        <v>0.41212431693989071</v>
      </c>
      <c r="D37">
        <v>0.3708105646630237</v>
      </c>
      <c r="E37">
        <v>0.29314663023679416</v>
      </c>
    </row>
    <row r="38" spans="2:8" x14ac:dyDescent="0.3">
      <c r="B38" s="16">
        <v>2019</v>
      </c>
      <c r="C38">
        <v>0.31404320987654322</v>
      </c>
      <c r="D38">
        <v>0.43591820987654317</v>
      </c>
      <c r="E38">
        <v>0.33433641975308648</v>
      </c>
    </row>
    <row r="39" spans="2:8" x14ac:dyDescent="0.3">
      <c r="B39" s="16">
        <v>2020</v>
      </c>
      <c r="C39">
        <v>0.24852642276422765</v>
      </c>
      <c r="D39">
        <v>0.34929708672086723</v>
      </c>
      <c r="E39">
        <v>0.21991869918699183</v>
      </c>
    </row>
    <row r="40" spans="2:8" x14ac:dyDescent="0.3">
      <c r="B40" s="16">
        <v>2021</v>
      </c>
      <c r="C40">
        <v>0.38021308980213081</v>
      </c>
      <c r="D40">
        <v>0.36423135464231354</v>
      </c>
      <c r="E40">
        <v>0.26696156773211577</v>
      </c>
    </row>
    <row r="41" spans="2:8" x14ac:dyDescent="0.3">
      <c r="B41" s="16">
        <v>2022</v>
      </c>
      <c r="C41">
        <v>0.2477272727272728</v>
      </c>
      <c r="D41">
        <v>0.35006313131313127</v>
      </c>
      <c r="E41">
        <v>0.22609427609427615</v>
      </c>
    </row>
    <row r="42" spans="2:8" x14ac:dyDescent="0.3">
      <c r="B42" s="16">
        <v>2023</v>
      </c>
      <c r="C42">
        <v>0.39544665404040397</v>
      </c>
      <c r="D42">
        <v>0.36339172979797973</v>
      </c>
      <c r="E42">
        <v>0.27151988636363639</v>
      </c>
    </row>
    <row r="43" spans="2:8" x14ac:dyDescent="0.3">
      <c r="B43" s="16">
        <v>2024</v>
      </c>
      <c r="C43">
        <v>0.28289007092198581</v>
      </c>
      <c r="D43">
        <v>0.34840425531914887</v>
      </c>
      <c r="E43">
        <v>0.19298167848699757</v>
      </c>
    </row>
    <row r="44" spans="2:8" x14ac:dyDescent="0.3">
      <c r="B44" s="16" t="s">
        <v>767</v>
      </c>
      <c r="C44">
        <v>0.36358939480717883</v>
      </c>
      <c r="D44">
        <v>0.36686712485681533</v>
      </c>
      <c r="E44">
        <v>0.26163731386025207</v>
      </c>
    </row>
    <row r="47" spans="2:8" x14ac:dyDescent="0.3">
      <c r="B47" s="15" t="s">
        <v>766</v>
      </c>
      <c r="C47" t="s">
        <v>772</v>
      </c>
      <c r="D47" t="s">
        <v>771</v>
      </c>
      <c r="E47" t="s">
        <v>773</v>
      </c>
    </row>
    <row r="48" spans="2:8" x14ac:dyDescent="0.3">
      <c r="B48" s="16" t="s">
        <v>775</v>
      </c>
      <c r="C48">
        <v>0.38607990012484417</v>
      </c>
      <c r="D48">
        <v>0.4022862047440699</v>
      </c>
      <c r="E48">
        <v>0.29747191011235957</v>
      </c>
    </row>
    <row r="49" spans="2:5" x14ac:dyDescent="0.3">
      <c r="B49" s="16" t="s">
        <v>776</v>
      </c>
      <c r="C49">
        <v>0.36210622284295474</v>
      </c>
      <c r="D49">
        <v>0.35837600869025443</v>
      </c>
      <c r="E49">
        <v>0.25810249844816913</v>
      </c>
    </row>
    <row r="50" spans="2:5" x14ac:dyDescent="0.3">
      <c r="B50" s="16" t="s">
        <v>777</v>
      </c>
      <c r="C50">
        <v>0.36682613168724271</v>
      </c>
      <c r="D50">
        <v>0.35190329218106992</v>
      </c>
      <c r="E50">
        <v>0.24738683127572014</v>
      </c>
    </row>
    <row r="51" spans="2:5" x14ac:dyDescent="0.3">
      <c r="B51" s="16" t="s">
        <v>767</v>
      </c>
      <c r="C51">
        <v>0.36686712485681539</v>
      </c>
      <c r="D51">
        <v>0.36358939480717867</v>
      </c>
      <c r="E51">
        <v>0.26163731386025207</v>
      </c>
    </row>
    <row r="53" spans="2:5" x14ac:dyDescent="0.3">
      <c r="B53" s="15" t="s">
        <v>766</v>
      </c>
      <c r="C53" t="s">
        <v>778</v>
      </c>
    </row>
    <row r="54" spans="2:5" x14ac:dyDescent="0.3">
      <c r="B54" s="16" t="s">
        <v>775</v>
      </c>
      <c r="C54">
        <v>117314.9103339947</v>
      </c>
    </row>
    <row r="55" spans="2:5" x14ac:dyDescent="0.3">
      <c r="B55" s="16" t="s">
        <v>777</v>
      </c>
      <c r="C55">
        <v>117330.65282118057</v>
      </c>
    </row>
    <row r="56" spans="2:5" x14ac:dyDescent="0.3">
      <c r="B56" s="16" t="s">
        <v>767</v>
      </c>
      <c r="C56">
        <v>117324.41523191823</v>
      </c>
    </row>
    <row r="59" spans="2:5" x14ac:dyDescent="0.3">
      <c r="B59" s="15" t="s">
        <v>766</v>
      </c>
      <c r="C59" t="s">
        <v>768</v>
      </c>
    </row>
    <row r="60" spans="2:5" x14ac:dyDescent="0.3">
      <c r="B60" s="16" t="s">
        <v>779</v>
      </c>
      <c r="C60">
        <v>59.58307210031348</v>
      </c>
    </row>
    <row r="61" spans="2:5" x14ac:dyDescent="0.3">
      <c r="B61" s="16" t="s">
        <v>780</v>
      </c>
      <c r="C61">
        <v>55.764258555133082</v>
      </c>
    </row>
    <row r="62" spans="2:5" x14ac:dyDescent="0.3">
      <c r="B62" s="16" t="s">
        <v>767</v>
      </c>
      <c r="C62">
        <v>57.857388316151201</v>
      </c>
    </row>
    <row r="63" spans="2:5" x14ac:dyDescent="0.3">
      <c r="B63" s="15" t="s">
        <v>762</v>
      </c>
      <c r="C63" t="s">
        <v>802</v>
      </c>
    </row>
    <row r="65" spans="2:3" x14ac:dyDescent="0.3">
      <c r="B65" s="15" t="s">
        <v>766</v>
      </c>
      <c r="C65" t="s">
        <v>784</v>
      </c>
    </row>
    <row r="66" spans="2:3" x14ac:dyDescent="0.3">
      <c r="B66" s="16" t="s">
        <v>781</v>
      </c>
      <c r="C66">
        <v>6</v>
      </c>
    </row>
    <row r="67" spans="2:3" x14ac:dyDescent="0.3">
      <c r="B67" s="16" t="s">
        <v>782</v>
      </c>
      <c r="C67">
        <v>36</v>
      </c>
    </row>
    <row r="68" spans="2:3" x14ac:dyDescent="0.3">
      <c r="B68" s="16" t="s">
        <v>783</v>
      </c>
      <c r="C68">
        <v>281</v>
      </c>
    </row>
    <row r="69" spans="2:3" x14ac:dyDescent="0.3">
      <c r="B69" s="16" t="s">
        <v>767</v>
      </c>
      <c r="C69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K73:O78"/>
  <sheetViews>
    <sheetView showGridLines="0" zoomScale="55" zoomScaleNormal="55" workbookViewId="0">
      <selection activeCell="L84" sqref="L84"/>
    </sheetView>
  </sheetViews>
  <sheetFormatPr defaultColWidth="8.77734375" defaultRowHeight="13.8" x14ac:dyDescent="0.25"/>
  <cols>
    <col min="1" max="10" width="8.77734375" style="18"/>
    <col min="11" max="11" width="12.5546875" style="18" bestFit="1" customWidth="1"/>
    <col min="12" max="12" width="11.88671875" style="18" customWidth="1"/>
    <col min="13" max="13" width="8.77734375" style="18"/>
    <col min="14" max="14" width="7.44140625" style="18" customWidth="1"/>
    <col min="15" max="15" width="10.109375" style="18" bestFit="1" customWidth="1"/>
    <col min="16" max="16384" width="8.77734375" style="18"/>
  </cols>
  <sheetData>
    <row r="73" spans="11:15" x14ac:dyDescent="0.25">
      <c r="K73" s="19" t="s">
        <v>790</v>
      </c>
      <c r="L73" s="19" t="s">
        <v>785</v>
      </c>
      <c r="N73" s="19" t="s">
        <v>792</v>
      </c>
      <c r="O73" s="19" t="s">
        <v>793</v>
      </c>
    </row>
    <row r="74" spans="11:15" x14ac:dyDescent="0.25">
      <c r="K74" s="20" t="s">
        <v>786</v>
      </c>
      <c r="L74" s="20">
        <f>CORREL('Clean Data'!G3:G323, 'Clean Data'!O3:O323)</f>
        <v>1.1661953682600368E-2</v>
      </c>
      <c r="N74" s="20" t="s">
        <v>797</v>
      </c>
      <c r="O74" s="20" t="s">
        <v>794</v>
      </c>
    </row>
    <row r="75" spans="11:15" x14ac:dyDescent="0.25">
      <c r="K75" s="20" t="s">
        <v>787</v>
      </c>
      <c r="L75" s="20">
        <f>CORREL('Clean Data'!H3:H323, 'Clean Data'!O3:O323)</f>
        <v>0.17683541195272673</v>
      </c>
      <c r="N75" s="20" t="s">
        <v>795</v>
      </c>
      <c r="O75" s="20" t="s">
        <v>796</v>
      </c>
    </row>
    <row r="76" spans="11:15" x14ac:dyDescent="0.25">
      <c r="K76" s="20" t="s">
        <v>788</v>
      </c>
      <c r="L76" s="20">
        <f>CORREL('Clean Data'!N3:N323, 'Clean Data'!O3:O323)</f>
        <v>-6.975629331765874E-3</v>
      </c>
      <c r="N76" s="20" t="s">
        <v>798</v>
      </c>
      <c r="O76" s="20" t="s">
        <v>799</v>
      </c>
    </row>
    <row r="77" spans="11:15" x14ac:dyDescent="0.25">
      <c r="K77" s="20" t="s">
        <v>789</v>
      </c>
      <c r="L77" s="20">
        <f>CORREL('Clean Data'!M3:M323, 'Clean Data'!O3:O323)</f>
        <v>4.7580085987661724E-2</v>
      </c>
      <c r="N77" s="20" t="s">
        <v>800</v>
      </c>
      <c r="O77" s="20" t="s">
        <v>801</v>
      </c>
    </row>
    <row r="78" spans="11:15" x14ac:dyDescent="0.25">
      <c r="K78" s="20" t="s">
        <v>791</v>
      </c>
      <c r="L78" s="20">
        <f>CORREL('Clean Data'!F3:F323, 'Clean Data'!O3:O323)</f>
        <v>-0.21872320519414631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 Data</vt:lpstr>
      <vt:lpstr>Clean Data</vt:lpstr>
      <vt:lpstr>Pivot Table</vt:lpstr>
      <vt:lpstr>Dashboard</vt:lpstr>
      <vt:lpstr>'Raw Data'!taylor_swift_spotify_1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Salsabila Artika Arifiani</dc:creator>
  <cp:lastModifiedBy>Delaila Chentika Kimhw</cp:lastModifiedBy>
  <dcterms:created xsi:type="dcterms:W3CDTF">2026-04-18T11:45:59Z</dcterms:created>
  <dcterms:modified xsi:type="dcterms:W3CDTF">2026-07-18T04:35:51Z</dcterms:modified>
</cp:coreProperties>
</file>